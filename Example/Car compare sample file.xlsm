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1b579a390505fd/Documents/GitHub/Marketplace_Car_Data_invoke/"/>
    </mc:Choice>
  </mc:AlternateContent>
  <xr:revisionPtr revIDLastSave="0" documentId="8_{A4CFEBD9-2B57-467A-AF1A-AB24C293276E}" xr6:coauthVersionLast="47" xr6:coauthVersionMax="47" xr10:uidLastSave="{00000000-0000-0000-0000-000000000000}"/>
  <bookViews>
    <workbookView xWindow="-120" yWindow="-120" windowWidth="19440" windowHeight="15000" tabRatio="706" xr2:uid="{664870D9-4187-45E1-BF3C-C09DB327648B}"/>
  </bookViews>
  <sheets>
    <sheet name="Volkswagen tiguan" sheetId="5" r:id="rId1"/>
    <sheet name="Hyundai tucson" sheetId="2" r:id="rId2"/>
    <sheet name="Hyundai Santafe" sheetId="4" r:id="rId3"/>
    <sheet name="Honda CHR" sheetId="8" r:id="rId4"/>
    <sheet name="RAV4" sheetId="9" r:id="rId5"/>
  </sheets>
  <functionGroups builtInGroupCount="19"/>
  <definedNames>
    <definedName name="_xlnm._FilterDatabase" localSheetId="3" hidden="1">'Honda CHR'!$I$2:$J$123</definedName>
    <definedName name="_xlnm._FilterDatabase" localSheetId="2" hidden="1">'Hyundai Santafe'!$I$2:$J$71</definedName>
    <definedName name="_xlnm._FilterDatabase" localSheetId="1" hidden="1">'Hyundai tucson'!$C$2:$J$85</definedName>
    <definedName name="_xlnm._FilterDatabase" localSheetId="4" hidden="1">'RAV4'!$I$2:$K$137</definedName>
    <definedName name="_xlnm._FilterDatabase" localSheetId="0" hidden="1">'Volkswagen tiguan'!$C$2:$J$100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0" i="9" l="1"/>
  <c r="H127" i="9"/>
  <c r="H13" i="9"/>
  <c r="H93" i="9"/>
  <c r="H129" i="9"/>
  <c r="H132" i="9"/>
  <c r="H107" i="9"/>
  <c r="H70" i="9"/>
  <c r="H98" i="9"/>
  <c r="H123" i="9"/>
  <c r="H59" i="9"/>
  <c r="H36" i="9"/>
  <c r="H62" i="9"/>
  <c r="H75" i="9"/>
  <c r="H103" i="9"/>
  <c r="K80" i="9"/>
  <c r="I80" i="9" s="1"/>
  <c r="J80" i="9" s="1"/>
  <c r="K127" i="9"/>
  <c r="I127" i="9" s="1"/>
  <c r="K13" i="9"/>
  <c r="I13" i="9" s="1"/>
  <c r="J13" i="9" s="1"/>
  <c r="K93" i="9"/>
  <c r="I93" i="9" s="1"/>
  <c r="K129" i="9"/>
  <c r="I129" i="9" s="1"/>
  <c r="J129" i="9" s="1"/>
  <c r="K132" i="9"/>
  <c r="I132" i="9" s="1"/>
  <c r="J132" i="9" s="1"/>
  <c r="K107" i="9"/>
  <c r="I107" i="9" s="1"/>
  <c r="J107" i="9" s="1"/>
  <c r="K70" i="9"/>
  <c r="I70" i="9" s="1"/>
  <c r="K98" i="9"/>
  <c r="I98" i="9" s="1"/>
  <c r="J98" i="9" s="1"/>
  <c r="K123" i="9"/>
  <c r="I123" i="9" s="1"/>
  <c r="J123" i="9" s="1"/>
  <c r="K59" i="9"/>
  <c r="I59" i="9" s="1"/>
  <c r="J59" i="9" s="1"/>
  <c r="K36" i="9"/>
  <c r="I36" i="9" s="1"/>
  <c r="K62" i="9"/>
  <c r="I62" i="9" s="1"/>
  <c r="J62" i="9" s="1"/>
  <c r="K75" i="9"/>
  <c r="I75" i="9" s="1"/>
  <c r="J75" i="9" s="1"/>
  <c r="K103" i="9"/>
  <c r="I103" i="9" s="1"/>
  <c r="J103" i="9" s="1"/>
  <c r="L80" i="9"/>
  <c r="L127" i="9"/>
  <c r="L13" i="9"/>
  <c r="L93" i="9"/>
  <c r="L129" i="9"/>
  <c r="L132" i="9"/>
  <c r="L107" i="9"/>
  <c r="L70" i="9"/>
  <c r="L98" i="9"/>
  <c r="L123" i="9"/>
  <c r="L59" i="9"/>
  <c r="L36" i="9"/>
  <c r="L62" i="9"/>
  <c r="L75" i="9"/>
  <c r="L103" i="9"/>
  <c r="L64" i="9"/>
  <c r="K64" i="9"/>
  <c r="I64" i="9" s="1"/>
  <c r="H64" i="9"/>
  <c r="L6" i="9"/>
  <c r="K6" i="9"/>
  <c r="I6" i="9" s="1"/>
  <c r="H6" i="9"/>
  <c r="L63" i="9"/>
  <c r="K63" i="9"/>
  <c r="I63" i="9" s="1"/>
  <c r="J63" i="9" s="1"/>
  <c r="H63" i="9"/>
  <c r="L88" i="9"/>
  <c r="K88" i="9"/>
  <c r="I88" i="9" s="1"/>
  <c r="J88" i="9" s="1"/>
  <c r="H88" i="9"/>
  <c r="L77" i="9"/>
  <c r="K77" i="9"/>
  <c r="I77" i="9" s="1"/>
  <c r="H77" i="9"/>
  <c r="L30" i="9"/>
  <c r="K30" i="9"/>
  <c r="I30" i="9" s="1"/>
  <c r="H30" i="9"/>
  <c r="L135" i="9"/>
  <c r="K135" i="9"/>
  <c r="I135" i="9" s="1"/>
  <c r="J135" i="9" s="1"/>
  <c r="H135" i="9"/>
  <c r="L105" i="9"/>
  <c r="K105" i="9"/>
  <c r="I105" i="9" s="1"/>
  <c r="J105" i="9" s="1"/>
  <c r="H105" i="9"/>
  <c r="L24" i="9"/>
  <c r="K24" i="9"/>
  <c r="I24" i="9" s="1"/>
  <c r="H24" i="9"/>
  <c r="L19" i="9"/>
  <c r="K19" i="9"/>
  <c r="I19" i="9" s="1"/>
  <c r="H19" i="9"/>
  <c r="L54" i="9"/>
  <c r="K54" i="9"/>
  <c r="I54" i="9" s="1"/>
  <c r="J54" i="9" s="1"/>
  <c r="H54" i="9"/>
  <c r="L122" i="9"/>
  <c r="K122" i="9"/>
  <c r="I122" i="9" s="1"/>
  <c r="J122" i="9" s="1"/>
  <c r="H122" i="9"/>
  <c r="L83" i="9"/>
  <c r="K83" i="9"/>
  <c r="I83" i="9" s="1"/>
  <c r="H83" i="9"/>
  <c r="L57" i="9"/>
  <c r="K57" i="9"/>
  <c r="I57" i="9" s="1"/>
  <c r="H57" i="9"/>
  <c r="L113" i="9"/>
  <c r="K113" i="9"/>
  <c r="I113" i="9" s="1"/>
  <c r="J113" i="9" s="1"/>
  <c r="H113" i="9"/>
  <c r="L125" i="9"/>
  <c r="K125" i="9"/>
  <c r="I125" i="9" s="1"/>
  <c r="J125" i="9" s="1"/>
  <c r="H125" i="9"/>
  <c r="L120" i="9"/>
  <c r="K120" i="9"/>
  <c r="I120" i="9" s="1"/>
  <c r="H120" i="9"/>
  <c r="L92" i="9"/>
  <c r="K92" i="9"/>
  <c r="I92" i="9" s="1"/>
  <c r="H92" i="9"/>
  <c r="L116" i="9"/>
  <c r="K116" i="9"/>
  <c r="I116" i="9" s="1"/>
  <c r="J116" i="9" s="1"/>
  <c r="H116" i="9"/>
  <c r="L71" i="9"/>
  <c r="K71" i="9"/>
  <c r="I71" i="9" s="1"/>
  <c r="H71" i="9"/>
  <c r="L109" i="9"/>
  <c r="K109" i="9"/>
  <c r="I109" i="9" s="1"/>
  <c r="H109" i="9"/>
  <c r="L137" i="9"/>
  <c r="K137" i="9"/>
  <c r="I137" i="9" s="1"/>
  <c r="H137" i="9"/>
  <c r="L7" i="9"/>
  <c r="K7" i="9"/>
  <c r="I7" i="9" s="1"/>
  <c r="J7" i="9" s="1"/>
  <c r="H7" i="9"/>
  <c r="L5" i="9"/>
  <c r="K5" i="9"/>
  <c r="I5" i="9" s="1"/>
  <c r="J5" i="9" s="1"/>
  <c r="H5" i="9"/>
  <c r="L28" i="9"/>
  <c r="K28" i="9"/>
  <c r="I28" i="9" s="1"/>
  <c r="H28" i="9"/>
  <c r="L94" i="9"/>
  <c r="K94" i="9"/>
  <c r="I94" i="9" s="1"/>
  <c r="H94" i="9"/>
  <c r="L100" i="9"/>
  <c r="K100" i="9"/>
  <c r="I100" i="9" s="1"/>
  <c r="J100" i="9" s="1"/>
  <c r="H100" i="9"/>
  <c r="L108" i="9"/>
  <c r="K108" i="9"/>
  <c r="I108" i="9" s="1"/>
  <c r="J108" i="9" s="1"/>
  <c r="H108" i="9"/>
  <c r="L87" i="9"/>
  <c r="K87" i="9"/>
  <c r="I87" i="9" s="1"/>
  <c r="H87" i="9"/>
  <c r="L95" i="9"/>
  <c r="K95" i="9"/>
  <c r="I95" i="9" s="1"/>
  <c r="H95" i="9"/>
  <c r="L43" i="9"/>
  <c r="K43" i="9"/>
  <c r="I43" i="9" s="1"/>
  <c r="J43" i="9" s="1"/>
  <c r="H43" i="9"/>
  <c r="L41" i="9"/>
  <c r="K41" i="9"/>
  <c r="I41" i="9" s="1"/>
  <c r="J41" i="9" s="1"/>
  <c r="H41" i="9"/>
  <c r="L121" i="9"/>
  <c r="K121" i="9"/>
  <c r="I121" i="9" s="1"/>
  <c r="H121" i="9"/>
  <c r="L91" i="9"/>
  <c r="K91" i="9"/>
  <c r="I91" i="9" s="1"/>
  <c r="H91" i="9"/>
  <c r="L73" i="9"/>
  <c r="K73" i="9"/>
  <c r="I73" i="9" s="1"/>
  <c r="J73" i="9" s="1"/>
  <c r="H73" i="9"/>
  <c r="L37" i="9"/>
  <c r="K37" i="9"/>
  <c r="I37" i="9" s="1"/>
  <c r="J37" i="9" s="1"/>
  <c r="H37" i="9"/>
  <c r="L74" i="9"/>
  <c r="K74" i="9"/>
  <c r="I74" i="9" s="1"/>
  <c r="H74" i="9"/>
  <c r="L101" i="9"/>
  <c r="K101" i="9"/>
  <c r="I101" i="9" s="1"/>
  <c r="H101" i="9"/>
  <c r="L106" i="9"/>
  <c r="K106" i="9"/>
  <c r="I106" i="9" s="1"/>
  <c r="J106" i="9" s="1"/>
  <c r="H106" i="9"/>
  <c r="L31" i="9"/>
  <c r="K31" i="9"/>
  <c r="I31" i="9" s="1"/>
  <c r="J31" i="9" s="1"/>
  <c r="H31" i="9"/>
  <c r="L136" i="9"/>
  <c r="K136" i="9"/>
  <c r="I136" i="9" s="1"/>
  <c r="H136" i="9"/>
  <c r="L85" i="9"/>
  <c r="K85" i="9"/>
  <c r="I85" i="9" s="1"/>
  <c r="H85" i="9"/>
  <c r="L60" i="9"/>
  <c r="K60" i="9"/>
  <c r="I60" i="9" s="1"/>
  <c r="H60" i="9"/>
  <c r="L133" i="9"/>
  <c r="K133" i="9"/>
  <c r="I133" i="9" s="1"/>
  <c r="J133" i="9" s="1"/>
  <c r="H133" i="9"/>
  <c r="L53" i="9"/>
  <c r="K53" i="9"/>
  <c r="I53" i="9" s="1"/>
  <c r="H53" i="9"/>
  <c r="L67" i="9"/>
  <c r="K67" i="9"/>
  <c r="I67" i="9" s="1"/>
  <c r="H67" i="9"/>
  <c r="L76" i="9"/>
  <c r="K76" i="9"/>
  <c r="I76" i="9" s="1"/>
  <c r="H76" i="9"/>
  <c r="L35" i="9"/>
  <c r="K35" i="9"/>
  <c r="I35" i="9" s="1"/>
  <c r="J35" i="9" s="1"/>
  <c r="H35" i="9"/>
  <c r="L82" i="9"/>
  <c r="K82" i="9"/>
  <c r="I82" i="9" s="1"/>
  <c r="H82" i="9"/>
  <c r="L22" i="9"/>
  <c r="K22" i="9"/>
  <c r="I22" i="9" s="1"/>
  <c r="H22" i="9"/>
  <c r="L68" i="9"/>
  <c r="K68" i="9"/>
  <c r="I68" i="9" s="1"/>
  <c r="H68" i="9"/>
  <c r="L51" i="9"/>
  <c r="K51" i="9"/>
  <c r="I51" i="9" s="1"/>
  <c r="H51" i="9"/>
  <c r="L124" i="9"/>
  <c r="K124" i="9"/>
  <c r="I124" i="9" s="1"/>
  <c r="H124" i="9"/>
  <c r="L72" i="9"/>
  <c r="K72" i="9"/>
  <c r="I72" i="9" s="1"/>
  <c r="H72" i="9"/>
  <c r="L40" i="9"/>
  <c r="K40" i="9"/>
  <c r="I40" i="9" s="1"/>
  <c r="H40" i="9"/>
  <c r="L130" i="9"/>
  <c r="K130" i="9"/>
  <c r="I130" i="9" s="1"/>
  <c r="H130" i="9"/>
  <c r="L50" i="9"/>
  <c r="K50" i="9"/>
  <c r="I50" i="9" s="1"/>
  <c r="H50" i="9"/>
  <c r="L42" i="9"/>
  <c r="K42" i="9"/>
  <c r="I42" i="9" s="1"/>
  <c r="H42" i="9"/>
  <c r="L81" i="9"/>
  <c r="K81" i="9"/>
  <c r="I81" i="9" s="1"/>
  <c r="H81" i="9"/>
  <c r="L21" i="9"/>
  <c r="K21" i="9"/>
  <c r="I21" i="9" s="1"/>
  <c r="H21" i="9"/>
  <c r="L47" i="9"/>
  <c r="K47" i="9"/>
  <c r="I47" i="9" s="1"/>
  <c r="H47" i="9"/>
  <c r="L117" i="9"/>
  <c r="K117" i="9"/>
  <c r="I117" i="9" s="1"/>
  <c r="H117" i="9"/>
  <c r="L32" i="9"/>
  <c r="K32" i="9"/>
  <c r="I32" i="9" s="1"/>
  <c r="H32" i="9"/>
  <c r="L97" i="9"/>
  <c r="K97" i="9"/>
  <c r="I97" i="9" s="1"/>
  <c r="H97" i="9"/>
  <c r="L114" i="9"/>
  <c r="K114" i="9"/>
  <c r="I114" i="9" s="1"/>
  <c r="H114" i="9"/>
  <c r="L79" i="9"/>
  <c r="K79" i="9"/>
  <c r="I79" i="9" s="1"/>
  <c r="H79" i="9"/>
  <c r="L27" i="9"/>
  <c r="K27" i="9"/>
  <c r="I27" i="9" s="1"/>
  <c r="H27" i="9"/>
  <c r="L86" i="9"/>
  <c r="K86" i="9"/>
  <c r="I86" i="9" s="1"/>
  <c r="H86" i="9"/>
  <c r="L96" i="9"/>
  <c r="K96" i="9"/>
  <c r="I96" i="9" s="1"/>
  <c r="H96" i="9"/>
  <c r="L8" i="9"/>
  <c r="K8" i="9"/>
  <c r="I8" i="9" s="1"/>
  <c r="H8" i="9"/>
  <c r="L9" i="9"/>
  <c r="K9" i="9"/>
  <c r="I9" i="9" s="1"/>
  <c r="H9" i="9"/>
  <c r="L17" i="9"/>
  <c r="K17" i="9"/>
  <c r="I17" i="9" s="1"/>
  <c r="H17" i="9"/>
  <c r="L78" i="9"/>
  <c r="K78" i="9"/>
  <c r="I78" i="9" s="1"/>
  <c r="H78" i="9"/>
  <c r="L84" i="9"/>
  <c r="K84" i="9"/>
  <c r="I84" i="9" s="1"/>
  <c r="H84" i="9"/>
  <c r="L104" i="9"/>
  <c r="K104" i="9"/>
  <c r="I104" i="9" s="1"/>
  <c r="H104" i="9"/>
  <c r="L14" i="9"/>
  <c r="K14" i="9"/>
  <c r="I14" i="9" s="1"/>
  <c r="H14" i="9"/>
  <c r="L11" i="9"/>
  <c r="K11" i="9"/>
  <c r="I11" i="9" s="1"/>
  <c r="H11" i="9"/>
  <c r="L111" i="9"/>
  <c r="K111" i="9"/>
  <c r="I111" i="9" s="1"/>
  <c r="H111" i="9"/>
  <c r="L56" i="9"/>
  <c r="K56" i="9"/>
  <c r="I56" i="9" s="1"/>
  <c r="H56" i="9"/>
  <c r="L110" i="9"/>
  <c r="K110" i="9"/>
  <c r="I110" i="9" s="1"/>
  <c r="H110" i="9"/>
  <c r="L66" i="9"/>
  <c r="K66" i="9"/>
  <c r="I66" i="9" s="1"/>
  <c r="H66" i="9"/>
  <c r="L23" i="9"/>
  <c r="K23" i="9"/>
  <c r="I23" i="9" s="1"/>
  <c r="H23" i="9"/>
  <c r="L90" i="9"/>
  <c r="K90" i="9"/>
  <c r="I90" i="9" s="1"/>
  <c r="H90" i="9"/>
  <c r="L38" i="9"/>
  <c r="K38" i="9"/>
  <c r="I38" i="9" s="1"/>
  <c r="H38" i="9"/>
  <c r="L4" i="9"/>
  <c r="K4" i="9"/>
  <c r="I4" i="9" s="1"/>
  <c r="H4" i="9"/>
  <c r="L34" i="9"/>
  <c r="K34" i="9"/>
  <c r="I34" i="9" s="1"/>
  <c r="H34" i="9"/>
  <c r="L131" i="9"/>
  <c r="K131" i="9"/>
  <c r="I131" i="9" s="1"/>
  <c r="H131" i="9"/>
  <c r="L112" i="9"/>
  <c r="K112" i="9"/>
  <c r="I112" i="9" s="1"/>
  <c r="H112" i="9"/>
  <c r="L39" i="9"/>
  <c r="K39" i="9"/>
  <c r="I39" i="9" s="1"/>
  <c r="H39" i="9"/>
  <c r="L10" i="9"/>
  <c r="K10" i="9"/>
  <c r="I10" i="9" s="1"/>
  <c r="H10" i="9"/>
  <c r="L26" i="9"/>
  <c r="K26" i="9"/>
  <c r="I26" i="9" s="1"/>
  <c r="H26" i="9"/>
  <c r="L12" i="9"/>
  <c r="K12" i="9"/>
  <c r="I12" i="9" s="1"/>
  <c r="H12" i="9"/>
  <c r="L15" i="9"/>
  <c r="K15" i="9"/>
  <c r="I15" i="9" s="1"/>
  <c r="H15" i="9"/>
  <c r="L16" i="9"/>
  <c r="K16" i="9"/>
  <c r="I16" i="9" s="1"/>
  <c r="H16" i="9"/>
  <c r="L134" i="9"/>
  <c r="K134" i="9"/>
  <c r="I134" i="9" s="1"/>
  <c r="H134" i="9"/>
  <c r="L118" i="9"/>
  <c r="K118" i="9"/>
  <c r="I118" i="9" s="1"/>
  <c r="H118" i="9"/>
  <c r="L33" i="9"/>
  <c r="K33" i="9"/>
  <c r="I33" i="9" s="1"/>
  <c r="H33" i="9"/>
  <c r="L102" i="9"/>
  <c r="K102" i="9"/>
  <c r="I102" i="9" s="1"/>
  <c r="H102" i="9"/>
  <c r="L20" i="9"/>
  <c r="K20" i="9"/>
  <c r="I20" i="9" s="1"/>
  <c r="H20" i="9"/>
  <c r="L119" i="9"/>
  <c r="K119" i="9"/>
  <c r="I119" i="9" s="1"/>
  <c r="H119" i="9"/>
  <c r="L99" i="9"/>
  <c r="K99" i="9"/>
  <c r="I99" i="9" s="1"/>
  <c r="H99" i="9"/>
  <c r="L128" i="9"/>
  <c r="K128" i="9"/>
  <c r="I128" i="9" s="1"/>
  <c r="H128" i="9"/>
  <c r="L18" i="9"/>
  <c r="K18" i="9"/>
  <c r="I18" i="9" s="1"/>
  <c r="H18" i="9"/>
  <c r="L25" i="9"/>
  <c r="K25" i="9"/>
  <c r="I25" i="9" s="1"/>
  <c r="H25" i="9"/>
  <c r="L3" i="9"/>
  <c r="K3" i="9"/>
  <c r="I3" i="9" s="1"/>
  <c r="H3" i="9"/>
  <c r="L48" i="9"/>
  <c r="K48" i="9"/>
  <c r="I48" i="9" s="1"/>
  <c r="H48" i="9"/>
  <c r="L126" i="9"/>
  <c r="K126" i="9"/>
  <c r="I126" i="9" s="1"/>
  <c r="H126" i="9"/>
  <c r="L45" i="9"/>
  <c r="K45" i="9"/>
  <c r="I45" i="9" s="1"/>
  <c r="H45" i="9"/>
  <c r="L46" i="9"/>
  <c r="K46" i="9"/>
  <c r="I46" i="9" s="1"/>
  <c r="H46" i="9"/>
  <c r="L29" i="9"/>
  <c r="K29" i="9"/>
  <c r="I29" i="9" s="1"/>
  <c r="H29" i="9"/>
  <c r="L115" i="9"/>
  <c r="K115" i="9"/>
  <c r="I115" i="9" s="1"/>
  <c r="H115" i="9"/>
  <c r="L61" i="9"/>
  <c r="K61" i="9"/>
  <c r="I61" i="9" s="1"/>
  <c r="H61" i="9"/>
  <c r="L44" i="9"/>
  <c r="K44" i="9"/>
  <c r="I44" i="9" s="1"/>
  <c r="H44" i="9"/>
  <c r="L55" i="9"/>
  <c r="K55" i="9"/>
  <c r="I55" i="9" s="1"/>
  <c r="H55" i="9"/>
  <c r="L58" i="9"/>
  <c r="K58" i="9"/>
  <c r="I58" i="9" s="1"/>
  <c r="H58" i="9"/>
  <c r="L89" i="9"/>
  <c r="K89" i="9"/>
  <c r="I89" i="9" s="1"/>
  <c r="H89" i="9"/>
  <c r="L2" i="9"/>
  <c r="K2" i="9"/>
  <c r="I2" i="9" s="1"/>
  <c r="H2" i="9"/>
  <c r="L65" i="9"/>
  <c r="K65" i="9"/>
  <c r="I65" i="9" s="1"/>
  <c r="H65" i="9"/>
  <c r="L69" i="9"/>
  <c r="K69" i="9"/>
  <c r="I69" i="9" s="1"/>
  <c r="H69" i="9"/>
  <c r="L49" i="9"/>
  <c r="K49" i="9"/>
  <c r="I49" i="9" s="1"/>
  <c r="H49" i="9"/>
  <c r="S2" i="9"/>
  <c r="P2" i="9" a="1"/>
  <c r="P2" i="9" s="1"/>
  <c r="L52" i="9"/>
  <c r="K52" i="9"/>
  <c r="I52" i="9" s="1"/>
  <c r="H52" i="9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J2" i="8"/>
  <c r="I2" i="8" s="1"/>
  <c r="J3" i="8"/>
  <c r="I3" i="8" s="1"/>
  <c r="J4" i="8"/>
  <c r="I4" i="8" s="1"/>
  <c r="J5" i="8"/>
  <c r="I5" i="8" s="1"/>
  <c r="J6" i="8"/>
  <c r="I6" i="8" s="1"/>
  <c r="J7" i="8"/>
  <c r="I7" i="8" s="1"/>
  <c r="J8" i="8"/>
  <c r="I8" i="8" s="1"/>
  <c r="J9" i="8"/>
  <c r="I9" i="8" s="1"/>
  <c r="J10" i="8"/>
  <c r="I10" i="8" s="1"/>
  <c r="J11" i="8"/>
  <c r="I11" i="8" s="1"/>
  <c r="J12" i="8"/>
  <c r="I12" i="8" s="1"/>
  <c r="J13" i="8"/>
  <c r="I13" i="8" s="1"/>
  <c r="J14" i="8"/>
  <c r="I14" i="8" s="1"/>
  <c r="J15" i="8"/>
  <c r="I15" i="8" s="1"/>
  <c r="J16" i="8"/>
  <c r="I16" i="8" s="1"/>
  <c r="J17" i="8"/>
  <c r="I17" i="8" s="1"/>
  <c r="J18" i="8"/>
  <c r="I18" i="8" s="1"/>
  <c r="J19" i="8"/>
  <c r="I19" i="8" s="1"/>
  <c r="J20" i="8"/>
  <c r="I20" i="8" s="1"/>
  <c r="J21" i="8"/>
  <c r="I21" i="8" s="1"/>
  <c r="J22" i="8"/>
  <c r="I22" i="8" s="1"/>
  <c r="J23" i="8"/>
  <c r="I23" i="8" s="1"/>
  <c r="J24" i="8"/>
  <c r="I24" i="8" s="1"/>
  <c r="J25" i="8"/>
  <c r="I25" i="8" s="1"/>
  <c r="J26" i="8"/>
  <c r="I26" i="8" s="1"/>
  <c r="J27" i="8"/>
  <c r="I27" i="8" s="1"/>
  <c r="J28" i="8"/>
  <c r="I28" i="8" s="1"/>
  <c r="J29" i="8"/>
  <c r="I29" i="8" s="1"/>
  <c r="J30" i="8"/>
  <c r="I30" i="8" s="1"/>
  <c r="J31" i="8"/>
  <c r="I31" i="8" s="1"/>
  <c r="J32" i="8"/>
  <c r="I32" i="8" s="1"/>
  <c r="J33" i="8"/>
  <c r="I33" i="8" s="1"/>
  <c r="J34" i="8"/>
  <c r="I34" i="8" s="1"/>
  <c r="J35" i="8"/>
  <c r="I35" i="8" s="1"/>
  <c r="J36" i="8"/>
  <c r="I36" i="8" s="1"/>
  <c r="J37" i="8"/>
  <c r="I37" i="8" s="1"/>
  <c r="J38" i="8"/>
  <c r="I38" i="8" s="1"/>
  <c r="J39" i="8"/>
  <c r="I39" i="8" s="1"/>
  <c r="J40" i="8"/>
  <c r="I40" i="8" s="1"/>
  <c r="J41" i="8"/>
  <c r="I41" i="8" s="1"/>
  <c r="J42" i="8"/>
  <c r="I42" i="8" s="1"/>
  <c r="J43" i="8"/>
  <c r="I43" i="8" s="1"/>
  <c r="J44" i="8"/>
  <c r="I44" i="8" s="1"/>
  <c r="J45" i="8"/>
  <c r="I45" i="8" s="1"/>
  <c r="J46" i="8"/>
  <c r="I46" i="8" s="1"/>
  <c r="J47" i="8"/>
  <c r="I47" i="8" s="1"/>
  <c r="J48" i="8"/>
  <c r="I48" i="8" s="1"/>
  <c r="J49" i="8"/>
  <c r="I49" i="8" s="1"/>
  <c r="J50" i="8"/>
  <c r="I50" i="8" s="1"/>
  <c r="J51" i="8"/>
  <c r="I51" i="8" s="1"/>
  <c r="J52" i="8"/>
  <c r="I52" i="8" s="1"/>
  <c r="J53" i="8"/>
  <c r="I53" i="8" s="1"/>
  <c r="J54" i="8"/>
  <c r="I54" i="8" s="1"/>
  <c r="J55" i="8"/>
  <c r="I55" i="8" s="1"/>
  <c r="J56" i="8"/>
  <c r="I56" i="8" s="1"/>
  <c r="J57" i="8"/>
  <c r="I57" i="8" s="1"/>
  <c r="J58" i="8"/>
  <c r="I58" i="8" s="1"/>
  <c r="J59" i="8"/>
  <c r="I59" i="8" s="1"/>
  <c r="J60" i="8"/>
  <c r="I60" i="8" s="1"/>
  <c r="J61" i="8"/>
  <c r="I61" i="8" s="1"/>
  <c r="J62" i="8"/>
  <c r="I62" i="8" s="1"/>
  <c r="J63" i="8"/>
  <c r="I63" i="8" s="1"/>
  <c r="J64" i="8"/>
  <c r="I64" i="8" s="1"/>
  <c r="J65" i="8"/>
  <c r="I65" i="8" s="1"/>
  <c r="J66" i="8"/>
  <c r="I66" i="8" s="1"/>
  <c r="J67" i="8"/>
  <c r="I67" i="8" s="1"/>
  <c r="J68" i="8"/>
  <c r="I68" i="8" s="1"/>
  <c r="J69" i="8"/>
  <c r="I69" i="8" s="1"/>
  <c r="J70" i="8"/>
  <c r="I70" i="8" s="1"/>
  <c r="J71" i="8"/>
  <c r="I71" i="8" s="1"/>
  <c r="J72" i="8"/>
  <c r="I72" i="8" s="1"/>
  <c r="J73" i="8"/>
  <c r="I73" i="8" s="1"/>
  <c r="J74" i="8"/>
  <c r="I74" i="8" s="1"/>
  <c r="J75" i="8"/>
  <c r="I75" i="8" s="1"/>
  <c r="J76" i="8"/>
  <c r="I76" i="8" s="1"/>
  <c r="J77" i="8"/>
  <c r="I77" i="8" s="1"/>
  <c r="J78" i="8"/>
  <c r="I78" i="8" s="1"/>
  <c r="J79" i="8"/>
  <c r="I79" i="8" s="1"/>
  <c r="J80" i="8"/>
  <c r="I80" i="8" s="1"/>
  <c r="J81" i="8"/>
  <c r="I81" i="8" s="1"/>
  <c r="J82" i="8"/>
  <c r="I82" i="8" s="1"/>
  <c r="J83" i="8"/>
  <c r="I83" i="8" s="1"/>
  <c r="J84" i="8"/>
  <c r="I84" i="8" s="1"/>
  <c r="J85" i="8"/>
  <c r="I85" i="8" s="1"/>
  <c r="J86" i="8"/>
  <c r="I86" i="8" s="1"/>
  <c r="J87" i="8"/>
  <c r="I87" i="8" s="1"/>
  <c r="J88" i="8"/>
  <c r="I88" i="8" s="1"/>
  <c r="J89" i="8"/>
  <c r="I89" i="8" s="1"/>
  <c r="J90" i="8"/>
  <c r="I90" i="8" s="1"/>
  <c r="J91" i="8"/>
  <c r="I91" i="8" s="1"/>
  <c r="J92" i="8"/>
  <c r="I92" i="8" s="1"/>
  <c r="J93" i="8"/>
  <c r="I93" i="8" s="1"/>
  <c r="J94" i="8"/>
  <c r="I94" i="8" s="1"/>
  <c r="J95" i="8"/>
  <c r="I95" i="8" s="1"/>
  <c r="J96" i="8"/>
  <c r="I96" i="8" s="1"/>
  <c r="J97" i="8"/>
  <c r="I97" i="8" s="1"/>
  <c r="J98" i="8"/>
  <c r="I98" i="8" s="1"/>
  <c r="J99" i="8"/>
  <c r="I99" i="8" s="1"/>
  <c r="J100" i="8"/>
  <c r="I100" i="8" s="1"/>
  <c r="J101" i="8"/>
  <c r="I101" i="8" s="1"/>
  <c r="J102" i="8"/>
  <c r="I102" i="8" s="1"/>
  <c r="J103" i="8"/>
  <c r="I103" i="8" s="1"/>
  <c r="J104" i="8"/>
  <c r="I104" i="8" s="1"/>
  <c r="J105" i="8"/>
  <c r="I105" i="8" s="1"/>
  <c r="J106" i="8"/>
  <c r="I106" i="8" s="1"/>
  <c r="J107" i="8"/>
  <c r="I107" i="8" s="1"/>
  <c r="J108" i="8"/>
  <c r="I108" i="8" s="1"/>
  <c r="J109" i="8"/>
  <c r="I109" i="8" s="1"/>
  <c r="J110" i="8"/>
  <c r="I110" i="8" s="1"/>
  <c r="J111" i="8"/>
  <c r="I111" i="8" s="1"/>
  <c r="J112" i="8"/>
  <c r="I112" i="8" s="1"/>
  <c r="J113" i="8"/>
  <c r="I113" i="8" s="1"/>
  <c r="J114" i="8"/>
  <c r="I114" i="8" s="1"/>
  <c r="J115" i="8"/>
  <c r="I115" i="8" s="1"/>
  <c r="J116" i="8"/>
  <c r="I116" i="8" s="1"/>
  <c r="J117" i="8"/>
  <c r="I117" i="8" s="1"/>
  <c r="J118" i="8"/>
  <c r="I118" i="8" s="1"/>
  <c r="J119" i="8"/>
  <c r="I119" i="8" s="1"/>
  <c r="J120" i="8"/>
  <c r="I120" i="8" s="1"/>
  <c r="J121" i="8"/>
  <c r="I121" i="8" s="1"/>
  <c r="J122" i="8"/>
  <c r="I122" i="8" s="1"/>
  <c r="J123" i="8"/>
  <c r="I123" i="8" s="1"/>
  <c r="K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R2" i="8"/>
  <c r="O2" i="8" a="1"/>
  <c r="P2" i="8" s="1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J71" i="4"/>
  <c r="I71" i="4" s="1"/>
  <c r="K71" i="4"/>
  <c r="J86" i="5"/>
  <c r="I86" i="5" s="1"/>
  <c r="J87" i="5"/>
  <c r="I87" i="5" s="1"/>
  <c r="J88" i="5"/>
  <c r="I88" i="5" s="1"/>
  <c r="J89" i="5"/>
  <c r="I89" i="5" s="1"/>
  <c r="J90" i="5"/>
  <c r="I90" i="5" s="1"/>
  <c r="J91" i="5"/>
  <c r="I91" i="5" s="1"/>
  <c r="J92" i="5"/>
  <c r="I92" i="5" s="1"/>
  <c r="J93" i="5"/>
  <c r="I93" i="5" s="1"/>
  <c r="J94" i="5"/>
  <c r="I94" i="5" s="1"/>
  <c r="J95" i="5"/>
  <c r="I95" i="5" s="1"/>
  <c r="J96" i="5"/>
  <c r="I96" i="5" s="1"/>
  <c r="J97" i="5"/>
  <c r="I97" i="5" s="1"/>
  <c r="J98" i="5"/>
  <c r="I98" i="5" s="1"/>
  <c r="J99" i="5"/>
  <c r="I99" i="5" s="1"/>
  <c r="J100" i="5"/>
  <c r="I100" i="5" s="1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85" i="5"/>
  <c r="J85" i="5"/>
  <c r="I85" i="5" s="1"/>
  <c r="K84" i="5"/>
  <c r="J84" i="5"/>
  <c r="I84" i="5" s="1"/>
  <c r="K83" i="5"/>
  <c r="J83" i="5"/>
  <c r="I83" i="5" s="1"/>
  <c r="K82" i="5"/>
  <c r="J82" i="5"/>
  <c r="I82" i="5" s="1"/>
  <c r="K81" i="5"/>
  <c r="J81" i="5"/>
  <c r="I81" i="5" s="1"/>
  <c r="K80" i="5"/>
  <c r="J80" i="5"/>
  <c r="I80" i="5" s="1"/>
  <c r="K79" i="5"/>
  <c r="J79" i="5"/>
  <c r="I79" i="5" s="1"/>
  <c r="K78" i="5"/>
  <c r="J78" i="5"/>
  <c r="I78" i="5" s="1"/>
  <c r="K77" i="5"/>
  <c r="J77" i="5"/>
  <c r="I77" i="5" s="1"/>
  <c r="K76" i="5"/>
  <c r="J76" i="5"/>
  <c r="I76" i="5" s="1"/>
  <c r="K75" i="5"/>
  <c r="J75" i="5"/>
  <c r="I75" i="5" s="1"/>
  <c r="K74" i="5"/>
  <c r="J74" i="5"/>
  <c r="I74" i="5" s="1"/>
  <c r="K73" i="5"/>
  <c r="J73" i="5"/>
  <c r="I73" i="5" s="1"/>
  <c r="K72" i="5"/>
  <c r="J72" i="5"/>
  <c r="I72" i="5" s="1"/>
  <c r="K71" i="5"/>
  <c r="J71" i="5"/>
  <c r="I71" i="5" s="1"/>
  <c r="K70" i="5"/>
  <c r="J70" i="5"/>
  <c r="I70" i="5" s="1"/>
  <c r="K69" i="5"/>
  <c r="J69" i="5"/>
  <c r="I69" i="5" s="1"/>
  <c r="K68" i="5"/>
  <c r="J68" i="5"/>
  <c r="I68" i="5" s="1"/>
  <c r="K67" i="5"/>
  <c r="J67" i="5"/>
  <c r="I67" i="5" s="1"/>
  <c r="K66" i="5"/>
  <c r="J66" i="5"/>
  <c r="I66" i="5" s="1"/>
  <c r="K65" i="5"/>
  <c r="J65" i="5"/>
  <c r="I65" i="5" s="1"/>
  <c r="K64" i="5"/>
  <c r="J64" i="5"/>
  <c r="I64" i="5" s="1"/>
  <c r="K63" i="5"/>
  <c r="J63" i="5"/>
  <c r="I63" i="5" s="1"/>
  <c r="K62" i="5"/>
  <c r="J62" i="5"/>
  <c r="I62" i="5" s="1"/>
  <c r="K61" i="5"/>
  <c r="J61" i="5"/>
  <c r="I61" i="5" s="1"/>
  <c r="K60" i="5"/>
  <c r="J60" i="5"/>
  <c r="I60" i="5" s="1"/>
  <c r="K59" i="5"/>
  <c r="J59" i="5"/>
  <c r="I59" i="5" s="1"/>
  <c r="K58" i="5"/>
  <c r="J58" i="5"/>
  <c r="I58" i="5" s="1"/>
  <c r="K57" i="5"/>
  <c r="J57" i="5"/>
  <c r="I57" i="5" s="1"/>
  <c r="K56" i="5"/>
  <c r="J56" i="5"/>
  <c r="I56" i="5" s="1"/>
  <c r="K55" i="5"/>
  <c r="J55" i="5"/>
  <c r="I55" i="5" s="1"/>
  <c r="K54" i="5"/>
  <c r="J54" i="5"/>
  <c r="I54" i="5" s="1"/>
  <c r="K53" i="5"/>
  <c r="J53" i="5"/>
  <c r="I53" i="5" s="1"/>
  <c r="K52" i="5"/>
  <c r="J52" i="5"/>
  <c r="I52" i="5" s="1"/>
  <c r="K51" i="5"/>
  <c r="J51" i="5"/>
  <c r="I51" i="5" s="1"/>
  <c r="K50" i="5"/>
  <c r="J50" i="5"/>
  <c r="I50" i="5" s="1"/>
  <c r="K49" i="5"/>
  <c r="J49" i="5"/>
  <c r="I49" i="5" s="1"/>
  <c r="K48" i="5"/>
  <c r="J48" i="5"/>
  <c r="I48" i="5" s="1"/>
  <c r="K47" i="5"/>
  <c r="J47" i="5"/>
  <c r="I47" i="5" s="1"/>
  <c r="K46" i="5"/>
  <c r="J46" i="5"/>
  <c r="I46" i="5" s="1"/>
  <c r="K45" i="5"/>
  <c r="J45" i="5"/>
  <c r="I45" i="5" s="1"/>
  <c r="K44" i="5"/>
  <c r="J44" i="5"/>
  <c r="I44" i="5" s="1"/>
  <c r="K43" i="5"/>
  <c r="J43" i="5"/>
  <c r="I43" i="5" s="1"/>
  <c r="K42" i="5"/>
  <c r="J42" i="5"/>
  <c r="I42" i="5" s="1"/>
  <c r="K41" i="5"/>
  <c r="J41" i="5"/>
  <c r="I41" i="5" s="1"/>
  <c r="K40" i="5"/>
  <c r="J40" i="5"/>
  <c r="I40" i="5" s="1"/>
  <c r="K39" i="5"/>
  <c r="J39" i="5"/>
  <c r="I39" i="5" s="1"/>
  <c r="K38" i="5"/>
  <c r="J38" i="5"/>
  <c r="I38" i="5" s="1"/>
  <c r="K37" i="5"/>
  <c r="J37" i="5"/>
  <c r="I37" i="5" s="1"/>
  <c r="K36" i="5"/>
  <c r="J36" i="5"/>
  <c r="I36" i="5" s="1"/>
  <c r="K35" i="5"/>
  <c r="J35" i="5"/>
  <c r="I35" i="5" s="1"/>
  <c r="K34" i="5"/>
  <c r="J34" i="5"/>
  <c r="I34" i="5" s="1"/>
  <c r="K33" i="5"/>
  <c r="J33" i="5"/>
  <c r="I33" i="5" s="1"/>
  <c r="K32" i="5"/>
  <c r="J32" i="5"/>
  <c r="I32" i="5" s="1"/>
  <c r="K31" i="5"/>
  <c r="J31" i="5"/>
  <c r="I31" i="5" s="1"/>
  <c r="K30" i="5"/>
  <c r="J30" i="5"/>
  <c r="I30" i="5" s="1"/>
  <c r="K29" i="5"/>
  <c r="J29" i="5"/>
  <c r="I29" i="5" s="1"/>
  <c r="K28" i="5"/>
  <c r="J28" i="5"/>
  <c r="I28" i="5" s="1"/>
  <c r="K27" i="5"/>
  <c r="J27" i="5"/>
  <c r="I27" i="5" s="1"/>
  <c r="K26" i="5"/>
  <c r="J26" i="5"/>
  <c r="I26" i="5" s="1"/>
  <c r="K25" i="5"/>
  <c r="J25" i="5"/>
  <c r="I25" i="5" s="1"/>
  <c r="K24" i="5"/>
  <c r="J24" i="5"/>
  <c r="I24" i="5" s="1"/>
  <c r="K23" i="5"/>
  <c r="J23" i="5"/>
  <c r="I23" i="5" s="1"/>
  <c r="K22" i="5"/>
  <c r="J22" i="5"/>
  <c r="I22" i="5" s="1"/>
  <c r="K21" i="5"/>
  <c r="J21" i="5"/>
  <c r="I21" i="5" s="1"/>
  <c r="K20" i="5"/>
  <c r="J20" i="5"/>
  <c r="I20" i="5" s="1"/>
  <c r="K19" i="5"/>
  <c r="J19" i="5"/>
  <c r="I19" i="5" s="1"/>
  <c r="K18" i="5"/>
  <c r="J18" i="5"/>
  <c r="I18" i="5" s="1"/>
  <c r="K17" i="5"/>
  <c r="J17" i="5"/>
  <c r="I17" i="5" s="1"/>
  <c r="K16" i="5"/>
  <c r="J16" i="5"/>
  <c r="I16" i="5" s="1"/>
  <c r="K15" i="5"/>
  <c r="J15" i="5"/>
  <c r="I15" i="5" s="1"/>
  <c r="K14" i="5"/>
  <c r="J14" i="5"/>
  <c r="I14" i="5" s="1"/>
  <c r="K13" i="5"/>
  <c r="J13" i="5"/>
  <c r="I13" i="5" s="1"/>
  <c r="K12" i="5"/>
  <c r="J12" i="5"/>
  <c r="I12" i="5" s="1"/>
  <c r="K11" i="5"/>
  <c r="J11" i="5"/>
  <c r="I11" i="5" s="1"/>
  <c r="K10" i="5"/>
  <c r="J10" i="5"/>
  <c r="I10" i="5" s="1"/>
  <c r="K9" i="5"/>
  <c r="J9" i="5"/>
  <c r="I9" i="5" s="1"/>
  <c r="K8" i="5"/>
  <c r="J8" i="5"/>
  <c r="I8" i="5" s="1"/>
  <c r="K7" i="5"/>
  <c r="J7" i="5"/>
  <c r="I7" i="5" s="1"/>
  <c r="K6" i="5"/>
  <c r="J6" i="5"/>
  <c r="I6" i="5" s="1"/>
  <c r="K5" i="5"/>
  <c r="J5" i="5"/>
  <c r="I5" i="5" s="1"/>
  <c r="K4" i="5"/>
  <c r="J4" i="5"/>
  <c r="I4" i="5" s="1"/>
  <c r="K3" i="5"/>
  <c r="J3" i="5"/>
  <c r="R2" i="5"/>
  <c r="O2" i="5" a="1"/>
  <c r="O2" i="5" s="1"/>
  <c r="K2" i="5"/>
  <c r="J2" i="5"/>
  <c r="I2" i="5" s="1"/>
  <c r="K34" i="4"/>
  <c r="J26" i="4"/>
  <c r="I26" i="4" s="1"/>
  <c r="J67" i="4"/>
  <c r="I67" i="4" s="1"/>
  <c r="J70" i="4"/>
  <c r="I70" i="4" s="1"/>
  <c r="J3" i="4"/>
  <c r="I3" i="4" s="1"/>
  <c r="J27" i="4"/>
  <c r="I27" i="4" s="1"/>
  <c r="J18" i="4"/>
  <c r="I18" i="4" s="1"/>
  <c r="J22" i="4"/>
  <c r="I22" i="4" s="1"/>
  <c r="J40" i="4"/>
  <c r="I40" i="4" s="1"/>
  <c r="J31" i="4"/>
  <c r="I31" i="4" s="1"/>
  <c r="J30" i="4"/>
  <c r="I30" i="4" s="1"/>
  <c r="J39" i="4"/>
  <c r="I39" i="4" s="1"/>
  <c r="J8" i="4"/>
  <c r="I8" i="4" s="1"/>
  <c r="J10" i="4"/>
  <c r="I10" i="4" s="1"/>
  <c r="J7" i="4"/>
  <c r="I7" i="4" s="1"/>
  <c r="J15" i="4"/>
  <c r="I15" i="4" s="1"/>
  <c r="J6" i="4"/>
  <c r="I6" i="4" s="1"/>
  <c r="J42" i="4"/>
  <c r="I42" i="4" s="1"/>
  <c r="J16" i="4"/>
  <c r="I16" i="4" s="1"/>
  <c r="J61" i="4"/>
  <c r="I61" i="4" s="1"/>
  <c r="J9" i="4"/>
  <c r="I9" i="4" s="1"/>
  <c r="J25" i="4"/>
  <c r="I25" i="4" s="1"/>
  <c r="J53" i="4"/>
  <c r="I53" i="4" s="1"/>
  <c r="J14" i="4"/>
  <c r="I14" i="4" s="1"/>
  <c r="J33" i="4"/>
  <c r="I33" i="4" s="1"/>
  <c r="J32" i="4"/>
  <c r="I32" i="4" s="1"/>
  <c r="J66" i="4"/>
  <c r="I66" i="4" s="1"/>
  <c r="J59" i="4"/>
  <c r="I59" i="4" s="1"/>
  <c r="J69" i="4"/>
  <c r="I69" i="4" s="1"/>
  <c r="J62" i="4"/>
  <c r="I62" i="4" s="1"/>
  <c r="J5" i="4"/>
  <c r="I5" i="4" s="1"/>
  <c r="J36" i="4"/>
  <c r="I36" i="4" s="1"/>
  <c r="J46" i="4"/>
  <c r="I46" i="4" s="1"/>
  <c r="J2" i="4"/>
  <c r="I2" i="4" s="1"/>
  <c r="J13" i="4"/>
  <c r="I13" i="4" s="1"/>
  <c r="J51" i="4"/>
  <c r="I51" i="4" s="1"/>
  <c r="J68" i="4"/>
  <c r="I68" i="4" s="1"/>
  <c r="J57" i="4"/>
  <c r="I57" i="4" s="1"/>
  <c r="J45" i="4"/>
  <c r="I45" i="4" s="1"/>
  <c r="J19" i="4"/>
  <c r="I19" i="4" s="1"/>
  <c r="J56" i="4"/>
  <c r="I56" i="4" s="1"/>
  <c r="J47" i="4"/>
  <c r="I47" i="4" s="1"/>
  <c r="J64" i="4"/>
  <c r="I64" i="4" s="1"/>
  <c r="J60" i="4"/>
  <c r="I60" i="4" s="1"/>
  <c r="J4" i="4"/>
  <c r="I4" i="4" s="1"/>
  <c r="J65" i="4"/>
  <c r="I65" i="4" s="1"/>
  <c r="J48" i="4"/>
  <c r="I48" i="4" s="1"/>
  <c r="J49" i="4"/>
  <c r="I49" i="4" s="1"/>
  <c r="J54" i="4"/>
  <c r="I54" i="4" s="1"/>
  <c r="J41" i="4"/>
  <c r="I41" i="4" s="1"/>
  <c r="J58" i="4"/>
  <c r="I58" i="4" s="1"/>
  <c r="J43" i="4"/>
  <c r="I43" i="4" s="1"/>
  <c r="J17" i="4"/>
  <c r="I17" i="4" s="1"/>
  <c r="J35" i="4"/>
  <c r="I35" i="4" s="1"/>
  <c r="J38" i="4"/>
  <c r="I38" i="4" s="1"/>
  <c r="J11" i="4"/>
  <c r="I11" i="4" s="1"/>
  <c r="J23" i="4"/>
  <c r="I23" i="4" s="1"/>
  <c r="J50" i="4"/>
  <c r="I50" i="4" s="1"/>
  <c r="J24" i="4"/>
  <c r="I24" i="4" s="1"/>
  <c r="J52" i="4"/>
  <c r="I52" i="4" s="1"/>
  <c r="J12" i="4"/>
  <c r="I12" i="4" s="1"/>
  <c r="J44" i="4"/>
  <c r="I44" i="4" s="1"/>
  <c r="J20" i="4"/>
  <c r="I20" i="4" s="1"/>
  <c r="J29" i="4"/>
  <c r="I29" i="4" s="1"/>
  <c r="J28" i="4"/>
  <c r="I28" i="4" s="1"/>
  <c r="J21" i="4"/>
  <c r="I21" i="4" s="1"/>
  <c r="J55" i="4"/>
  <c r="I55" i="4" s="1"/>
  <c r="J37" i="4"/>
  <c r="I37" i="4" s="1"/>
  <c r="J63" i="4"/>
  <c r="I63" i="4" s="1"/>
  <c r="K26" i="4"/>
  <c r="K67" i="4"/>
  <c r="K70" i="4"/>
  <c r="K3" i="4"/>
  <c r="K27" i="4"/>
  <c r="K18" i="4"/>
  <c r="K22" i="4"/>
  <c r="K40" i="4"/>
  <c r="K31" i="4"/>
  <c r="K30" i="4"/>
  <c r="K39" i="4"/>
  <c r="K8" i="4"/>
  <c r="K10" i="4"/>
  <c r="K7" i="4"/>
  <c r="K15" i="4"/>
  <c r="K6" i="4"/>
  <c r="K42" i="4"/>
  <c r="K16" i="4"/>
  <c r="K61" i="4"/>
  <c r="K9" i="4"/>
  <c r="K25" i="4"/>
  <c r="K53" i="4"/>
  <c r="K14" i="4"/>
  <c r="K33" i="4"/>
  <c r="K32" i="4"/>
  <c r="K66" i="4"/>
  <c r="K59" i="4"/>
  <c r="K69" i="4"/>
  <c r="K62" i="4"/>
  <c r="K5" i="4"/>
  <c r="K36" i="4"/>
  <c r="K46" i="4"/>
  <c r="K2" i="4"/>
  <c r="K13" i="4"/>
  <c r="K51" i="4"/>
  <c r="K68" i="4"/>
  <c r="K57" i="4"/>
  <c r="K45" i="4"/>
  <c r="K19" i="4"/>
  <c r="K56" i="4"/>
  <c r="K47" i="4"/>
  <c r="K64" i="4"/>
  <c r="K60" i="4"/>
  <c r="K4" i="4"/>
  <c r="K65" i="4"/>
  <c r="K48" i="4"/>
  <c r="K49" i="4"/>
  <c r="K54" i="4"/>
  <c r="K41" i="4"/>
  <c r="K58" i="4"/>
  <c r="K43" i="4"/>
  <c r="K17" i="4"/>
  <c r="K35" i="4"/>
  <c r="K38" i="4"/>
  <c r="K11" i="4"/>
  <c r="K23" i="4"/>
  <c r="K50" i="4"/>
  <c r="K24" i="4"/>
  <c r="K52" i="4"/>
  <c r="K12" i="4"/>
  <c r="K44" i="4"/>
  <c r="K20" i="4"/>
  <c r="K29" i="4"/>
  <c r="K28" i="4"/>
  <c r="K21" i="4"/>
  <c r="K55" i="4"/>
  <c r="K37" i="4"/>
  <c r="K63" i="4"/>
  <c r="R2" i="4"/>
  <c r="O2" i="4" a="1"/>
  <c r="O2" i="4" s="1"/>
  <c r="J34" i="4"/>
  <c r="K2" i="2"/>
  <c r="K4" i="2"/>
  <c r="K3" i="2"/>
  <c r="K5" i="2"/>
  <c r="K8" i="2"/>
  <c r="K6" i="2"/>
  <c r="K9" i="2"/>
  <c r="K7" i="2"/>
  <c r="K11" i="2"/>
  <c r="K12" i="2"/>
  <c r="K14" i="2"/>
  <c r="K10" i="2"/>
  <c r="K15" i="2"/>
  <c r="K16" i="2"/>
  <c r="K13" i="2"/>
  <c r="K21" i="2"/>
  <c r="K23" i="2"/>
  <c r="K18" i="2"/>
  <c r="K20" i="2"/>
  <c r="K17" i="2"/>
  <c r="K22" i="2"/>
  <c r="K24" i="2"/>
  <c r="K25" i="2"/>
  <c r="K19" i="2"/>
  <c r="K27" i="2"/>
  <c r="K26" i="2"/>
  <c r="K29" i="2"/>
  <c r="K33" i="2"/>
  <c r="K34" i="2"/>
  <c r="K31" i="2"/>
  <c r="K35" i="2"/>
  <c r="K28" i="2"/>
  <c r="K30" i="2"/>
  <c r="K39" i="2"/>
  <c r="K38" i="2"/>
  <c r="K36" i="2"/>
  <c r="K32" i="2"/>
  <c r="K48" i="2"/>
  <c r="K55" i="2"/>
  <c r="K40" i="2"/>
  <c r="K45" i="2"/>
  <c r="K41" i="2"/>
  <c r="K44" i="2"/>
  <c r="K42" i="2"/>
  <c r="K49" i="2"/>
  <c r="K46" i="2"/>
  <c r="K47" i="2"/>
  <c r="K43" i="2"/>
  <c r="K53" i="2"/>
  <c r="K37" i="2"/>
  <c r="K52" i="2"/>
  <c r="K59" i="2"/>
  <c r="K60" i="2"/>
  <c r="K54" i="2"/>
  <c r="K57" i="2"/>
  <c r="K56" i="2"/>
  <c r="K58" i="2"/>
  <c r="K61" i="2"/>
  <c r="K50" i="2"/>
  <c r="K51" i="2"/>
  <c r="K62" i="2"/>
  <c r="K68" i="2"/>
  <c r="K75" i="2"/>
  <c r="K63" i="2"/>
  <c r="K67" i="2"/>
  <c r="K72" i="2"/>
  <c r="K64" i="2"/>
  <c r="K65" i="2"/>
  <c r="K66" i="2"/>
  <c r="K73" i="2"/>
  <c r="K70" i="2"/>
  <c r="K71" i="2"/>
  <c r="K69" i="2"/>
  <c r="K78" i="2"/>
  <c r="K74" i="2"/>
  <c r="K76" i="2"/>
  <c r="K77" i="2"/>
  <c r="K79" i="2"/>
  <c r="K80" i="2"/>
  <c r="K82" i="2"/>
  <c r="K83" i="2"/>
  <c r="K81" i="2"/>
  <c r="K85" i="2"/>
  <c r="K84" i="2"/>
  <c r="J77" i="2"/>
  <c r="I77" i="2" s="1"/>
  <c r="J70" i="2"/>
  <c r="I70" i="2" s="1"/>
  <c r="J51" i="2"/>
  <c r="I51" i="2" s="1"/>
  <c r="J43" i="2"/>
  <c r="I43" i="2" s="1"/>
  <c r="J19" i="2"/>
  <c r="I19" i="2" s="1"/>
  <c r="J84" i="2"/>
  <c r="I84" i="2" s="1"/>
  <c r="J63" i="2"/>
  <c r="I63" i="2" s="1"/>
  <c r="J83" i="2"/>
  <c r="I83" i="2" s="1"/>
  <c r="J2" i="2"/>
  <c r="I2" i="2" s="1"/>
  <c r="J23" i="2"/>
  <c r="I23" i="2" s="1"/>
  <c r="J11" i="2"/>
  <c r="I11" i="2" s="1"/>
  <c r="J42" i="2"/>
  <c r="I42" i="2" s="1"/>
  <c r="J82" i="2"/>
  <c r="I82" i="2" s="1"/>
  <c r="J79" i="2"/>
  <c r="I79" i="2" s="1"/>
  <c r="J50" i="2"/>
  <c r="I50" i="2" s="1"/>
  <c r="J85" i="2"/>
  <c r="I85" i="2" s="1"/>
  <c r="J48" i="2"/>
  <c r="I48" i="2" s="1"/>
  <c r="J26" i="2"/>
  <c r="I26" i="2" s="1"/>
  <c r="J41" i="2"/>
  <c r="I41" i="2" s="1"/>
  <c r="J27" i="2"/>
  <c r="I27" i="2" s="1"/>
  <c r="J71" i="2"/>
  <c r="I71" i="2" s="1"/>
  <c r="J47" i="2"/>
  <c r="I47" i="2" s="1"/>
  <c r="J8" i="2"/>
  <c r="I8" i="2" s="1"/>
  <c r="J65" i="2"/>
  <c r="I65" i="2" s="1"/>
  <c r="J61" i="2"/>
  <c r="I61" i="2" s="1"/>
  <c r="J22" i="2"/>
  <c r="I22" i="2" s="1"/>
  <c r="J69" i="2"/>
  <c r="I69" i="2" s="1"/>
  <c r="J56" i="2"/>
  <c r="I56" i="2" s="1"/>
  <c r="J34" i="2"/>
  <c r="I34" i="2" s="1"/>
  <c r="J12" i="2"/>
  <c r="I12" i="2" s="1"/>
  <c r="J60" i="2"/>
  <c r="I60" i="2" s="1"/>
  <c r="J28" i="2"/>
  <c r="I28" i="2" s="1"/>
  <c r="J64" i="2"/>
  <c r="I64" i="2" s="1"/>
  <c r="J66" i="2"/>
  <c r="I66" i="2" s="1"/>
  <c r="J24" i="2"/>
  <c r="I24" i="2" s="1"/>
  <c r="J15" i="2"/>
  <c r="I15" i="2" s="1"/>
  <c r="J78" i="2"/>
  <c r="I78" i="2" s="1"/>
  <c r="J36" i="2"/>
  <c r="I36" i="2" s="1"/>
  <c r="J49" i="2"/>
  <c r="I49" i="2" s="1"/>
  <c r="J62" i="2"/>
  <c r="I62" i="2" s="1"/>
  <c r="J38" i="2"/>
  <c r="I38" i="2" s="1"/>
  <c r="J80" i="2"/>
  <c r="I80" i="2" s="1"/>
  <c r="J14" i="2"/>
  <c r="I14" i="2" s="1"/>
  <c r="J18" i="2"/>
  <c r="I18" i="2" s="1"/>
  <c r="J7" i="2"/>
  <c r="I7" i="2" s="1"/>
  <c r="J3" i="2"/>
  <c r="I3" i="2" s="1"/>
  <c r="J52" i="2"/>
  <c r="I52" i="2" s="1"/>
  <c r="J73" i="2"/>
  <c r="I73" i="2" s="1"/>
  <c r="J37" i="2"/>
  <c r="I37" i="2" s="1"/>
  <c r="J32" i="2"/>
  <c r="I32" i="2" s="1"/>
  <c r="J58" i="2"/>
  <c r="I58" i="2" s="1"/>
  <c r="J10" i="2"/>
  <c r="I10" i="2" s="1"/>
  <c r="J40" i="2"/>
  <c r="I40" i="2" s="1"/>
  <c r="J57" i="2"/>
  <c r="I57" i="2" s="1"/>
  <c r="J33" i="2"/>
  <c r="I33" i="2" s="1"/>
  <c r="J67" i="2"/>
  <c r="I67" i="2" s="1"/>
  <c r="J54" i="2"/>
  <c r="I54" i="2" s="1"/>
  <c r="J76" i="2"/>
  <c r="I76" i="2" s="1"/>
  <c r="J31" i="2"/>
  <c r="I31" i="2" s="1"/>
  <c r="J13" i="2"/>
  <c r="I13" i="2" s="1"/>
  <c r="J30" i="2"/>
  <c r="I30" i="2" s="1"/>
  <c r="J72" i="2"/>
  <c r="I72" i="2" s="1"/>
  <c r="J4" i="2"/>
  <c r="J39" i="2"/>
  <c r="I39" i="2" s="1"/>
  <c r="J17" i="2"/>
  <c r="I17" i="2" s="1"/>
  <c r="J44" i="2"/>
  <c r="I44" i="2" s="1"/>
  <c r="J9" i="2"/>
  <c r="I9" i="2" s="1"/>
  <c r="J81" i="2"/>
  <c r="I81" i="2" s="1"/>
  <c r="J5" i="2"/>
  <c r="I5" i="2" s="1"/>
  <c r="J46" i="2"/>
  <c r="I46" i="2" s="1"/>
  <c r="J35" i="2"/>
  <c r="I35" i="2" s="1"/>
  <c r="J29" i="2"/>
  <c r="I29" i="2" s="1"/>
  <c r="J53" i="2"/>
  <c r="I53" i="2" s="1"/>
  <c r="J6" i="2"/>
  <c r="I6" i="2" s="1"/>
  <c r="J68" i="2"/>
  <c r="I68" i="2" s="1"/>
  <c r="J20" i="2"/>
  <c r="I20" i="2" s="1"/>
  <c r="J55" i="2"/>
  <c r="I55" i="2" s="1"/>
  <c r="J16" i="2"/>
  <c r="I16" i="2" s="1"/>
  <c r="J74" i="2"/>
  <c r="I74" i="2" s="1"/>
  <c r="J45" i="2"/>
  <c r="I45" i="2" s="1"/>
  <c r="J25" i="2"/>
  <c r="I25" i="2" s="1"/>
  <c r="J21" i="2"/>
  <c r="I21" i="2" s="1"/>
  <c r="J59" i="2"/>
  <c r="I59" i="2" s="1"/>
  <c r="J75" i="2"/>
  <c r="I75" i="2" s="1"/>
  <c r="O2" i="2" a="1"/>
  <c r="O2" i="2" s="1"/>
  <c r="R2" i="2"/>
  <c r="J49" i="9" l="1"/>
  <c r="J89" i="9"/>
  <c r="J61" i="9"/>
  <c r="J45" i="9"/>
  <c r="J25" i="9"/>
  <c r="J119" i="9"/>
  <c r="J118" i="9"/>
  <c r="J12" i="9"/>
  <c r="J112" i="9"/>
  <c r="J38" i="9"/>
  <c r="J110" i="9"/>
  <c r="J14" i="9"/>
  <c r="J17" i="9"/>
  <c r="J86" i="9"/>
  <c r="J97" i="9"/>
  <c r="J21" i="9"/>
  <c r="J130" i="9"/>
  <c r="J51" i="9"/>
  <c r="J71" i="9"/>
  <c r="J84" i="9"/>
  <c r="J72" i="9"/>
  <c r="J101" i="9"/>
  <c r="J65" i="9"/>
  <c r="J55" i="9"/>
  <c r="J29" i="9"/>
  <c r="J48" i="9"/>
  <c r="J128" i="9"/>
  <c r="J102" i="9"/>
  <c r="J16" i="9"/>
  <c r="J10" i="9"/>
  <c r="J34" i="9"/>
  <c r="J23" i="9"/>
  <c r="J111" i="9"/>
  <c r="J8" i="9"/>
  <c r="J79" i="9"/>
  <c r="J117" i="9"/>
  <c r="J42" i="9"/>
  <c r="J22" i="9"/>
  <c r="J67" i="9"/>
  <c r="J85" i="9"/>
  <c r="J91" i="9"/>
  <c r="J127" i="9"/>
  <c r="J2" i="9"/>
  <c r="J44" i="9"/>
  <c r="J46" i="9"/>
  <c r="J3" i="9"/>
  <c r="J99" i="9"/>
  <c r="J33" i="9"/>
  <c r="J15" i="9"/>
  <c r="J39" i="9"/>
  <c r="J4" i="9"/>
  <c r="J66" i="9"/>
  <c r="J11" i="9"/>
  <c r="J78" i="9"/>
  <c r="J96" i="9"/>
  <c r="J114" i="9"/>
  <c r="J47" i="9"/>
  <c r="J50" i="9"/>
  <c r="J124" i="9"/>
  <c r="J82" i="9"/>
  <c r="J53" i="9"/>
  <c r="J136" i="9"/>
  <c r="J74" i="9"/>
  <c r="J121" i="9"/>
  <c r="J87" i="9"/>
  <c r="J28" i="9"/>
  <c r="J109" i="9"/>
  <c r="J120" i="9"/>
  <c r="J83" i="9"/>
  <c r="J24" i="9"/>
  <c r="J77" i="9"/>
  <c r="J64" i="9"/>
  <c r="J36" i="9"/>
  <c r="J70" i="9"/>
  <c r="J93" i="9"/>
  <c r="J95" i="9"/>
  <c r="J94" i="9"/>
  <c r="J137" i="9"/>
  <c r="J92" i="9"/>
  <c r="J57" i="9"/>
  <c r="J19" i="9"/>
  <c r="J30" i="9"/>
  <c r="J6" i="9"/>
  <c r="J52" i="9"/>
  <c r="J69" i="9"/>
  <c r="J58" i="9"/>
  <c r="J115" i="9"/>
  <c r="J126" i="9"/>
  <c r="J18" i="9"/>
  <c r="J20" i="9"/>
  <c r="J134" i="9"/>
  <c r="J26" i="9"/>
  <c r="J131" i="9"/>
  <c r="J90" i="9"/>
  <c r="J56" i="9"/>
  <c r="J104" i="9"/>
  <c r="J9" i="9"/>
  <c r="J27" i="9"/>
  <c r="J32" i="9"/>
  <c r="J81" i="9"/>
  <c r="J40" i="9"/>
  <c r="J68" i="9"/>
  <c r="J76" i="9"/>
  <c r="J60" i="9"/>
  <c r="M103" i="9" a="1"/>
  <c r="M103" i="9" s="1"/>
  <c r="N103" i="9" s="1"/>
  <c r="M62" i="9" a="1"/>
  <c r="M62" i="9" s="1"/>
  <c r="N62" i="9" s="1"/>
  <c r="M59" i="9" a="1"/>
  <c r="M59" i="9" s="1"/>
  <c r="N59" i="9" s="1"/>
  <c r="M98" i="9" a="1"/>
  <c r="M98" i="9" s="1"/>
  <c r="N98" i="9" s="1"/>
  <c r="M107" i="9" a="1"/>
  <c r="M107" i="9" s="1"/>
  <c r="N107" i="9" s="1"/>
  <c r="M129" i="9" a="1"/>
  <c r="M129" i="9" s="1"/>
  <c r="N129" i="9" s="1"/>
  <c r="M13" i="9" a="1"/>
  <c r="M13" i="9" s="1"/>
  <c r="N13" i="9" s="1"/>
  <c r="M75" i="9" a="1"/>
  <c r="M75" i="9" s="1"/>
  <c r="N75" i="9" s="1"/>
  <c r="M36" i="9" a="1"/>
  <c r="M36" i="9" s="1"/>
  <c r="N36" i="9" s="1"/>
  <c r="M123" i="9" a="1"/>
  <c r="M123" i="9" s="1"/>
  <c r="N123" i="9" s="1"/>
  <c r="M70" i="9" a="1"/>
  <c r="M70" i="9" s="1"/>
  <c r="N70" i="9" s="1"/>
  <c r="M132" i="9" a="1"/>
  <c r="M132" i="9" s="1"/>
  <c r="N132" i="9" s="1"/>
  <c r="M93" i="9" a="1"/>
  <c r="M93" i="9" s="1"/>
  <c r="N93" i="9" s="1"/>
  <c r="M127" i="9" a="1"/>
  <c r="M127" i="9" s="1"/>
  <c r="N127" i="9" s="1"/>
  <c r="M80" i="9" a="1"/>
  <c r="M80" i="9" s="1"/>
  <c r="N80" i="9" s="1"/>
  <c r="M49" i="9" a="1"/>
  <c r="M49" i="9" s="1"/>
  <c r="N49" i="9" s="1"/>
  <c r="M54" i="9" a="1"/>
  <c r="M54" i="9" s="1"/>
  <c r="N54" i="9" s="1"/>
  <c r="Q2" i="9"/>
  <c r="M58" i="9" a="1"/>
  <c r="M58" i="9" s="1"/>
  <c r="N58" i="9" s="1"/>
  <c r="M126" i="9" a="1"/>
  <c r="M126" i="9" s="1"/>
  <c r="N126" i="9" s="1"/>
  <c r="M20" i="9" a="1"/>
  <c r="M20" i="9" s="1"/>
  <c r="N20" i="9" s="1"/>
  <c r="M134" i="9" a="1"/>
  <c r="M134" i="9" s="1"/>
  <c r="N134" i="9" s="1"/>
  <c r="M26" i="9" a="1"/>
  <c r="M26" i="9" s="1"/>
  <c r="N26" i="9" s="1"/>
  <c r="M131" i="9" a="1"/>
  <c r="M131" i="9" s="1"/>
  <c r="N131" i="9" s="1"/>
  <c r="M90" i="9" a="1"/>
  <c r="M90" i="9" s="1"/>
  <c r="N90" i="9" s="1"/>
  <c r="M31" i="9" a="1"/>
  <c r="M31" i="9" s="1"/>
  <c r="N31" i="9" s="1"/>
  <c r="M28" i="9" a="1"/>
  <c r="M28" i="9" s="1"/>
  <c r="N28" i="9" s="1"/>
  <c r="M65" i="9" a="1"/>
  <c r="M65" i="9" s="1"/>
  <c r="N65" i="9" s="1"/>
  <c r="M115" i="9" a="1"/>
  <c r="M115" i="9" s="1"/>
  <c r="N115" i="9" s="1"/>
  <c r="M18" i="9" a="1"/>
  <c r="M18" i="9" s="1"/>
  <c r="N18" i="9" s="1"/>
  <c r="M6" i="9" a="1"/>
  <c r="M6" i="9" s="1"/>
  <c r="N6" i="9" s="1"/>
  <c r="M30" i="9" a="1"/>
  <c r="M30" i="9" s="1"/>
  <c r="N30" i="9" s="1"/>
  <c r="M19" i="9" a="1"/>
  <c r="M19" i="9" s="1"/>
  <c r="N19" i="9" s="1"/>
  <c r="M83" i="9" a="1"/>
  <c r="M83" i="9" s="1"/>
  <c r="N83" i="9" s="1"/>
  <c r="M71" i="9" a="1"/>
  <c r="M71" i="9" s="1"/>
  <c r="N71" i="9" s="1"/>
  <c r="M5" i="9" a="1"/>
  <c r="M5" i="9" s="1"/>
  <c r="N5" i="9" s="1"/>
  <c r="M100" i="9" a="1"/>
  <c r="M100" i="9" s="1"/>
  <c r="N100" i="9" s="1"/>
  <c r="M43" i="9" a="1"/>
  <c r="M43" i="9" s="1"/>
  <c r="N43" i="9" s="1"/>
  <c r="M73" i="9" a="1"/>
  <c r="M73" i="9" s="1"/>
  <c r="N73" i="9" s="1"/>
  <c r="M106" i="9" a="1"/>
  <c r="M106" i="9" s="1"/>
  <c r="N106" i="9" s="1"/>
  <c r="M60" i="9" a="1"/>
  <c r="M60" i="9" s="1"/>
  <c r="N60" i="9" s="1"/>
  <c r="M76" i="9" a="1"/>
  <c r="M76" i="9" s="1"/>
  <c r="N76" i="9" s="1"/>
  <c r="M68" i="9" a="1"/>
  <c r="M68" i="9" s="1"/>
  <c r="N68" i="9" s="1"/>
  <c r="M40" i="9" a="1"/>
  <c r="M40" i="9" s="1"/>
  <c r="N40" i="9" s="1"/>
  <c r="M42" i="9" a="1"/>
  <c r="M42" i="9" s="1"/>
  <c r="N42" i="9" s="1"/>
  <c r="M117" i="9" a="1"/>
  <c r="M117" i="9" s="1"/>
  <c r="N117" i="9" s="1"/>
  <c r="M79" i="9" a="1"/>
  <c r="M79" i="9" s="1"/>
  <c r="N79" i="9" s="1"/>
  <c r="M8" i="9" a="1"/>
  <c r="M8" i="9" s="1"/>
  <c r="N8" i="9" s="1"/>
  <c r="M84" i="9" a="1"/>
  <c r="M84" i="9" s="1"/>
  <c r="N84" i="9" s="1"/>
  <c r="M111" i="9" a="1"/>
  <c r="M111" i="9" s="1"/>
  <c r="N111" i="9" s="1"/>
  <c r="M77" i="9" a="1"/>
  <c r="M77" i="9" s="1"/>
  <c r="N77" i="9" s="1"/>
  <c r="M24" i="9" a="1"/>
  <c r="M24" i="9" s="1"/>
  <c r="N24" i="9" s="1"/>
  <c r="M122" i="9" a="1"/>
  <c r="M122" i="9" s="1"/>
  <c r="N122" i="9" s="1"/>
  <c r="M125" i="9" a="1"/>
  <c r="M125" i="9" s="1"/>
  <c r="N125" i="9" s="1"/>
  <c r="M116" i="9" a="1"/>
  <c r="M116" i="9" s="1"/>
  <c r="N116" i="9" s="1"/>
  <c r="M7" i="9" a="1"/>
  <c r="M7" i="9" s="1"/>
  <c r="N7" i="9" s="1"/>
  <c r="M94" i="9" a="1"/>
  <c r="M94" i="9" s="1"/>
  <c r="N94" i="9" s="1"/>
  <c r="M95" i="9" a="1"/>
  <c r="M95" i="9" s="1"/>
  <c r="N95" i="9" s="1"/>
  <c r="M91" i="9" a="1"/>
  <c r="M91" i="9" s="1"/>
  <c r="N91" i="9" s="1"/>
  <c r="M101" i="9" a="1"/>
  <c r="M101" i="9" s="1"/>
  <c r="N101" i="9" s="1"/>
  <c r="M85" i="9" a="1"/>
  <c r="M85" i="9" s="1"/>
  <c r="N85" i="9" s="1"/>
  <c r="M67" i="9" a="1"/>
  <c r="M67" i="9" s="1"/>
  <c r="N67" i="9" s="1"/>
  <c r="M64" i="9" a="1"/>
  <c r="M64" i="9" s="1"/>
  <c r="N64" i="9" s="1"/>
  <c r="M88" i="9" a="1"/>
  <c r="M88" i="9" s="1"/>
  <c r="N88" i="9" s="1"/>
  <c r="M105" i="9" a="1"/>
  <c r="M105" i="9" s="1"/>
  <c r="N105" i="9" s="1"/>
  <c r="M113" i="9" a="1"/>
  <c r="M113" i="9" s="1"/>
  <c r="N113" i="9" s="1"/>
  <c r="M92" i="9" a="1"/>
  <c r="M92" i="9" s="1"/>
  <c r="N92" i="9" s="1"/>
  <c r="M137" i="9" a="1"/>
  <c r="M137" i="9" s="1"/>
  <c r="N137" i="9" s="1"/>
  <c r="M87" i="9" a="1"/>
  <c r="M87" i="9" s="1"/>
  <c r="N87" i="9" s="1"/>
  <c r="M121" i="9" a="1"/>
  <c r="M121" i="9" s="1"/>
  <c r="N121" i="9" s="1"/>
  <c r="M74" i="9" a="1"/>
  <c r="M74" i="9" s="1"/>
  <c r="N74" i="9" s="1"/>
  <c r="M136" i="9" a="1"/>
  <c r="M136" i="9" s="1"/>
  <c r="N136" i="9" s="1"/>
  <c r="M53" i="9" a="1"/>
  <c r="M53" i="9" s="1"/>
  <c r="N53" i="9" s="1"/>
  <c r="M82" i="9" a="1"/>
  <c r="M82" i="9" s="1"/>
  <c r="N82" i="9" s="1"/>
  <c r="M124" i="9" a="1"/>
  <c r="M124" i="9" s="1"/>
  <c r="N124" i="9" s="1"/>
  <c r="M130" i="9" a="1"/>
  <c r="M130" i="9" s="1"/>
  <c r="N130" i="9" s="1"/>
  <c r="M21" i="9" a="1"/>
  <c r="M21" i="9" s="1"/>
  <c r="N21" i="9" s="1"/>
  <c r="M97" i="9" a="1"/>
  <c r="M97" i="9" s="1"/>
  <c r="N97" i="9" s="1"/>
  <c r="M86" i="9" a="1"/>
  <c r="M86" i="9" s="1"/>
  <c r="N86" i="9" s="1"/>
  <c r="M17" i="9" a="1"/>
  <c r="M17" i="9" s="1"/>
  <c r="N17" i="9" s="1"/>
  <c r="M14" i="9" a="1"/>
  <c r="M14" i="9" s="1"/>
  <c r="N14" i="9" s="1"/>
  <c r="M110" i="9" a="1"/>
  <c r="M110" i="9" s="1"/>
  <c r="N110" i="9" s="1"/>
  <c r="M69" i="9" a="1"/>
  <c r="M69" i="9" s="1"/>
  <c r="N69" i="9" s="1"/>
  <c r="M61" i="9" a="1"/>
  <c r="M61" i="9" s="1"/>
  <c r="N61" i="9" s="1"/>
  <c r="M45" i="9" a="1"/>
  <c r="M45" i="9" s="1"/>
  <c r="N45" i="9" s="1"/>
  <c r="M25" i="9" a="1"/>
  <c r="M25" i="9" s="1"/>
  <c r="N25" i="9" s="1"/>
  <c r="M119" i="9" a="1"/>
  <c r="M119" i="9" s="1"/>
  <c r="N119" i="9" s="1"/>
  <c r="M118" i="9" a="1"/>
  <c r="M118" i="9" s="1"/>
  <c r="N118" i="9" s="1"/>
  <c r="M12" i="9" a="1"/>
  <c r="M12" i="9" s="1"/>
  <c r="N12" i="9" s="1"/>
  <c r="M112" i="9" a="1"/>
  <c r="M112" i="9" s="1"/>
  <c r="N112" i="9" s="1"/>
  <c r="M38" i="9" a="1"/>
  <c r="M38" i="9" s="1"/>
  <c r="N38" i="9" s="1"/>
  <c r="M66" i="9" a="1"/>
  <c r="M66" i="9" s="1"/>
  <c r="N66" i="9" s="1"/>
  <c r="M56" i="9" a="1"/>
  <c r="M56" i="9" s="1"/>
  <c r="N56" i="9" s="1"/>
  <c r="M104" i="9" a="1"/>
  <c r="M104" i="9" s="1"/>
  <c r="N104" i="9" s="1"/>
  <c r="M9" i="9" a="1"/>
  <c r="M9" i="9" s="1"/>
  <c r="N9" i="9" s="1"/>
  <c r="M27" i="9" a="1"/>
  <c r="M27" i="9" s="1"/>
  <c r="N27" i="9" s="1"/>
  <c r="M32" i="9" a="1"/>
  <c r="M32" i="9" s="1"/>
  <c r="N32" i="9" s="1"/>
  <c r="M81" i="9" a="1"/>
  <c r="M81" i="9" s="1"/>
  <c r="N81" i="9" s="1"/>
  <c r="M51" i="9" a="1"/>
  <c r="M51" i="9" s="1"/>
  <c r="N51" i="9" s="1"/>
  <c r="M35" i="9" a="1"/>
  <c r="M35" i="9" s="1"/>
  <c r="N35" i="9" s="1"/>
  <c r="M37" i="9" a="1"/>
  <c r="M37" i="9" s="1"/>
  <c r="N37" i="9" s="1"/>
  <c r="M109" i="9" a="1"/>
  <c r="M109" i="9" s="1"/>
  <c r="N109" i="9" s="1"/>
  <c r="M135" i="9" a="1"/>
  <c r="M135" i="9" s="1"/>
  <c r="N135" i="9" s="1"/>
  <c r="M44" i="9" a="1"/>
  <c r="M44" i="9" s="1"/>
  <c r="N44" i="9" s="1"/>
  <c r="M3" i="9" a="1"/>
  <c r="M3" i="9" s="1"/>
  <c r="M99" i="9" a="1"/>
  <c r="M99" i="9" s="1"/>
  <c r="N99" i="9" s="1"/>
  <c r="M33" i="9" a="1"/>
  <c r="M33" i="9" s="1"/>
  <c r="N33" i="9" s="1"/>
  <c r="M15" i="9" a="1"/>
  <c r="M15" i="9" s="1"/>
  <c r="N15" i="9" s="1"/>
  <c r="M39" i="9" a="1"/>
  <c r="M39" i="9" s="1"/>
  <c r="N39" i="9" s="1"/>
  <c r="M4" i="9" a="1"/>
  <c r="M4" i="9" s="1"/>
  <c r="N4" i="9" s="1"/>
  <c r="M23" i="9" a="1"/>
  <c r="M23" i="9" s="1"/>
  <c r="N23" i="9" s="1"/>
  <c r="M41" i="9" a="1"/>
  <c r="M41" i="9" s="1"/>
  <c r="N41" i="9" s="1"/>
  <c r="M120" i="9" a="1"/>
  <c r="M120" i="9" s="1"/>
  <c r="N120" i="9" s="1"/>
  <c r="M63" i="9" a="1"/>
  <c r="M63" i="9" s="1"/>
  <c r="N63" i="9" s="1"/>
  <c r="M89" i="9" a="1"/>
  <c r="M89" i="9" s="1"/>
  <c r="N89" i="9" s="1"/>
  <c r="M46" i="9" a="1"/>
  <c r="M46" i="9" s="1"/>
  <c r="N46" i="9" s="1"/>
  <c r="M52" i="9" a="1"/>
  <c r="M52" i="9" s="1"/>
  <c r="N52" i="9" s="1"/>
  <c r="M2" i="9" a="1"/>
  <c r="M2" i="9" s="1"/>
  <c r="N2" i="9" s="1"/>
  <c r="M55" i="9" a="1"/>
  <c r="M55" i="9" s="1"/>
  <c r="N55" i="9" s="1"/>
  <c r="M29" i="9" a="1"/>
  <c r="M29" i="9" s="1"/>
  <c r="N29" i="9" s="1"/>
  <c r="M48" i="9" a="1"/>
  <c r="M48" i="9" s="1"/>
  <c r="N48" i="9" s="1"/>
  <c r="M128" i="9" a="1"/>
  <c r="M128" i="9" s="1"/>
  <c r="N128" i="9" s="1"/>
  <c r="M102" i="9" a="1"/>
  <c r="M102" i="9" s="1"/>
  <c r="N102" i="9" s="1"/>
  <c r="M16" i="9" a="1"/>
  <c r="M16" i="9" s="1"/>
  <c r="N16" i="9" s="1"/>
  <c r="M10" i="9" a="1"/>
  <c r="M10" i="9" s="1"/>
  <c r="N10" i="9" s="1"/>
  <c r="M34" i="9" a="1"/>
  <c r="M34" i="9" s="1"/>
  <c r="N34" i="9" s="1"/>
  <c r="M11" i="9" a="1"/>
  <c r="M11" i="9" s="1"/>
  <c r="N11" i="9" s="1"/>
  <c r="M78" i="9" a="1"/>
  <c r="M78" i="9" s="1"/>
  <c r="N78" i="9" s="1"/>
  <c r="M96" i="9" a="1"/>
  <c r="M96" i="9" s="1"/>
  <c r="N96" i="9" s="1"/>
  <c r="M114" i="9" a="1"/>
  <c r="M114" i="9" s="1"/>
  <c r="N114" i="9" s="1"/>
  <c r="M47" i="9" a="1"/>
  <c r="M47" i="9" s="1"/>
  <c r="N47" i="9" s="1"/>
  <c r="M50" i="9" a="1"/>
  <c r="M50" i="9" s="1"/>
  <c r="N50" i="9" s="1"/>
  <c r="M72" i="9" a="1"/>
  <c r="M72" i="9" s="1"/>
  <c r="N72" i="9" s="1"/>
  <c r="M22" i="9" a="1"/>
  <c r="M22" i="9" s="1"/>
  <c r="N22" i="9" s="1"/>
  <c r="M133" i="9" a="1"/>
  <c r="M133" i="9" s="1"/>
  <c r="N133" i="9" s="1"/>
  <c r="M108" i="9" a="1"/>
  <c r="M108" i="9" s="1"/>
  <c r="N108" i="9" s="1"/>
  <c r="M57" i="9" a="1"/>
  <c r="M57" i="9" s="1"/>
  <c r="N57" i="9" s="1"/>
  <c r="L42" i="8" a="1"/>
  <c r="L42" i="8" s="1"/>
  <c r="M42" i="8" s="1"/>
  <c r="L112" i="8" a="1"/>
  <c r="L112" i="8" s="1"/>
  <c r="M112" i="8" s="1"/>
  <c r="L59" i="8" a="1"/>
  <c r="L59" i="8" s="1"/>
  <c r="M59" i="8" s="1"/>
  <c r="L104" i="8" a="1"/>
  <c r="L104" i="8" s="1"/>
  <c r="M104" i="8" s="1"/>
  <c r="L30" i="8" a="1"/>
  <c r="L30" i="8" s="1"/>
  <c r="M30" i="8" s="1"/>
  <c r="L91" i="8" a="1"/>
  <c r="L91" i="8" s="1"/>
  <c r="M91" i="8" s="1"/>
  <c r="L26" i="8" a="1"/>
  <c r="L26" i="8" s="1"/>
  <c r="M26" i="8" s="1"/>
  <c r="L120" i="8" a="1"/>
  <c r="L120" i="8" s="1"/>
  <c r="M120" i="8" s="1"/>
  <c r="L75" i="8" a="1"/>
  <c r="L75" i="8" s="1"/>
  <c r="M75" i="8" s="1"/>
  <c r="L118" i="8" a="1"/>
  <c r="L118" i="8" s="1"/>
  <c r="M118" i="8" s="1"/>
  <c r="L110" i="8" a="1"/>
  <c r="L110" i="8" s="1"/>
  <c r="M110" i="8" s="1"/>
  <c r="L102" i="8" a="1"/>
  <c r="L102" i="8" s="1"/>
  <c r="M102" i="8" s="1"/>
  <c r="L86" i="8" a="1"/>
  <c r="L86" i="8" s="1"/>
  <c r="M86" i="8" s="1"/>
  <c r="L70" i="8" a="1"/>
  <c r="L70" i="8" s="1"/>
  <c r="M70" i="8" s="1"/>
  <c r="L54" i="8" a="1"/>
  <c r="L54" i="8" s="1"/>
  <c r="M54" i="8" s="1"/>
  <c r="L38" i="8" a="1"/>
  <c r="L38" i="8" s="1"/>
  <c r="M38" i="8" s="1"/>
  <c r="L22" i="8" a="1"/>
  <c r="L22" i="8" s="1"/>
  <c r="M22" i="8" s="1"/>
  <c r="L116" i="8" a="1"/>
  <c r="L116" i="8" s="1"/>
  <c r="M116" i="8" s="1"/>
  <c r="L108" i="8" a="1"/>
  <c r="L108" i="8" s="1"/>
  <c r="M108" i="8" s="1"/>
  <c r="L99" i="8" a="1"/>
  <c r="L99" i="8" s="1"/>
  <c r="M99" i="8" s="1"/>
  <c r="L83" i="8" a="1"/>
  <c r="L83" i="8" s="1"/>
  <c r="M83" i="8" s="1"/>
  <c r="L67" i="8" a="1"/>
  <c r="L67" i="8" s="1"/>
  <c r="M67" i="8" s="1"/>
  <c r="L51" i="8" a="1"/>
  <c r="L51" i="8" s="1"/>
  <c r="M51" i="8" s="1"/>
  <c r="L34" i="8" a="1"/>
  <c r="L34" i="8" s="1"/>
  <c r="M34" i="8" s="1"/>
  <c r="L18" i="8" a="1"/>
  <c r="L18" i="8" s="1"/>
  <c r="M18" i="8" s="1"/>
  <c r="L122" i="8" a="1"/>
  <c r="L122" i="8" s="1"/>
  <c r="M122" i="8" s="1"/>
  <c r="L114" i="8" a="1"/>
  <c r="L114" i="8" s="1"/>
  <c r="M114" i="8" s="1"/>
  <c r="L106" i="8" a="1"/>
  <c r="L106" i="8" s="1"/>
  <c r="M106" i="8" s="1"/>
  <c r="L94" i="8" a="1"/>
  <c r="L94" i="8" s="1"/>
  <c r="M94" i="8" s="1"/>
  <c r="L78" i="8" a="1"/>
  <c r="L78" i="8" s="1"/>
  <c r="M78" i="8" s="1"/>
  <c r="L62" i="8" a="1"/>
  <c r="L62" i="8" s="1"/>
  <c r="M62" i="8" s="1"/>
  <c r="L46" i="8" a="1"/>
  <c r="L46" i="8" s="1"/>
  <c r="M46" i="8" s="1"/>
  <c r="L3" i="8" a="1"/>
  <c r="L3" i="8" s="1"/>
  <c r="M3" i="8" s="1"/>
  <c r="L5" i="8" a="1"/>
  <c r="L5" i="8" s="1"/>
  <c r="M5" i="8" s="1"/>
  <c r="L7" i="8" a="1"/>
  <c r="L7" i="8" s="1"/>
  <c r="M7" i="8" s="1"/>
  <c r="L9" i="8" a="1"/>
  <c r="L9" i="8" s="1"/>
  <c r="M9" i="8" s="1"/>
  <c r="L11" i="8" a="1"/>
  <c r="L11" i="8" s="1"/>
  <c r="M11" i="8" s="1"/>
  <c r="L13" i="8" a="1"/>
  <c r="L13" i="8" s="1"/>
  <c r="M13" i="8" s="1"/>
  <c r="L15" i="8" a="1"/>
  <c r="L15" i="8" s="1"/>
  <c r="M15" i="8" s="1"/>
  <c r="L17" i="8" a="1"/>
  <c r="L17" i="8" s="1"/>
  <c r="M17" i="8" s="1"/>
  <c r="L19" i="8" a="1"/>
  <c r="L19" i="8" s="1"/>
  <c r="M19" i="8" s="1"/>
  <c r="L21" i="8" a="1"/>
  <c r="L21" i="8" s="1"/>
  <c r="M21" i="8" s="1"/>
  <c r="L23" i="8" a="1"/>
  <c r="L23" i="8" s="1"/>
  <c r="M23" i="8" s="1"/>
  <c r="L25" i="8" a="1"/>
  <c r="L25" i="8" s="1"/>
  <c r="M25" i="8" s="1"/>
  <c r="L27" i="8" a="1"/>
  <c r="L27" i="8" s="1"/>
  <c r="M27" i="8" s="1"/>
  <c r="L29" i="8" a="1"/>
  <c r="L29" i="8" s="1"/>
  <c r="M29" i="8" s="1"/>
  <c r="L31" i="8" a="1"/>
  <c r="L31" i="8" s="1"/>
  <c r="M31" i="8" s="1"/>
  <c r="L33" i="8" a="1"/>
  <c r="L33" i="8" s="1"/>
  <c r="M33" i="8" s="1"/>
  <c r="L35" i="8" a="1"/>
  <c r="L35" i="8" s="1"/>
  <c r="M35" i="8" s="1"/>
  <c r="L37" i="8" a="1"/>
  <c r="L37" i="8" s="1"/>
  <c r="M37" i="8" s="1"/>
  <c r="L39" i="8" a="1"/>
  <c r="L39" i="8" s="1"/>
  <c r="M39" i="8" s="1"/>
  <c r="L41" i="8" a="1"/>
  <c r="L41" i="8" s="1"/>
  <c r="M41" i="8" s="1"/>
  <c r="L43" i="8" a="1"/>
  <c r="L43" i="8" s="1"/>
  <c r="M43" i="8" s="1"/>
  <c r="L45" i="8" a="1"/>
  <c r="L45" i="8" s="1"/>
  <c r="M45" i="8" s="1"/>
  <c r="L2" i="8" a="1"/>
  <c r="L2" i="8" s="1"/>
  <c r="M2" i="8" s="1"/>
  <c r="L4" i="8" a="1"/>
  <c r="L4" i="8" s="1"/>
  <c r="M4" i="8" s="1"/>
  <c r="L6" i="8" a="1"/>
  <c r="L6" i="8" s="1"/>
  <c r="M6" i="8" s="1"/>
  <c r="L8" i="8" a="1"/>
  <c r="L8" i="8" s="1"/>
  <c r="M8" i="8" s="1"/>
  <c r="L10" i="8" a="1"/>
  <c r="L10" i="8" s="1"/>
  <c r="M10" i="8" s="1"/>
  <c r="L12" i="8" a="1"/>
  <c r="L12" i="8" s="1"/>
  <c r="M12" i="8" s="1"/>
  <c r="L14" i="8" a="1"/>
  <c r="L14" i="8" s="1"/>
  <c r="M14" i="8" s="1"/>
  <c r="L101" i="8" a="1"/>
  <c r="L101" i="8" s="1"/>
  <c r="M101" i="8" s="1"/>
  <c r="L96" i="8" a="1"/>
  <c r="L96" i="8" s="1"/>
  <c r="M96" i="8" s="1"/>
  <c r="L93" i="8" a="1"/>
  <c r="L93" i="8" s="1"/>
  <c r="M93" i="8" s="1"/>
  <c r="L88" i="8" a="1"/>
  <c r="L88" i="8" s="1"/>
  <c r="M88" i="8" s="1"/>
  <c r="L85" i="8" a="1"/>
  <c r="L85" i="8" s="1"/>
  <c r="M85" i="8" s="1"/>
  <c r="L80" i="8" a="1"/>
  <c r="L80" i="8" s="1"/>
  <c r="M80" i="8" s="1"/>
  <c r="L77" i="8" a="1"/>
  <c r="L77" i="8" s="1"/>
  <c r="M77" i="8" s="1"/>
  <c r="L72" i="8" a="1"/>
  <c r="L72" i="8" s="1"/>
  <c r="M72" i="8" s="1"/>
  <c r="L69" i="8" a="1"/>
  <c r="L69" i="8" s="1"/>
  <c r="M69" i="8" s="1"/>
  <c r="L64" i="8" a="1"/>
  <c r="L64" i="8" s="1"/>
  <c r="M64" i="8" s="1"/>
  <c r="L61" i="8" a="1"/>
  <c r="L61" i="8" s="1"/>
  <c r="M61" i="8" s="1"/>
  <c r="L56" i="8" a="1"/>
  <c r="L56" i="8" s="1"/>
  <c r="M56" i="8" s="1"/>
  <c r="L53" i="8" a="1"/>
  <c r="L53" i="8" s="1"/>
  <c r="M53" i="8" s="1"/>
  <c r="L48" i="8" a="1"/>
  <c r="L48" i="8" s="1"/>
  <c r="M48" i="8" s="1"/>
  <c r="L123" i="8" a="1"/>
  <c r="L123" i="8" s="1"/>
  <c r="M123" i="8" s="1"/>
  <c r="L121" i="8" a="1"/>
  <c r="L121" i="8" s="1"/>
  <c r="M121" i="8" s="1"/>
  <c r="L119" i="8" a="1"/>
  <c r="L119" i="8" s="1"/>
  <c r="M119" i="8" s="1"/>
  <c r="L117" i="8" a="1"/>
  <c r="L117" i="8" s="1"/>
  <c r="M117" i="8" s="1"/>
  <c r="L115" i="8" a="1"/>
  <c r="L115" i="8" s="1"/>
  <c r="M115" i="8" s="1"/>
  <c r="L113" i="8" a="1"/>
  <c r="L113" i="8" s="1"/>
  <c r="M113" i="8" s="1"/>
  <c r="L111" i="8" a="1"/>
  <c r="L111" i="8" s="1"/>
  <c r="M111" i="8" s="1"/>
  <c r="L109" i="8" a="1"/>
  <c r="L109" i="8" s="1"/>
  <c r="M109" i="8" s="1"/>
  <c r="L107" i="8" a="1"/>
  <c r="L107" i="8" s="1"/>
  <c r="M107" i="8" s="1"/>
  <c r="L105" i="8" a="1"/>
  <c r="L105" i="8" s="1"/>
  <c r="M105" i="8" s="1"/>
  <c r="L103" i="8" a="1"/>
  <c r="L103" i="8" s="1"/>
  <c r="M103" i="8" s="1"/>
  <c r="L98" i="8" a="1"/>
  <c r="L98" i="8" s="1"/>
  <c r="M98" i="8" s="1"/>
  <c r="L95" i="8" a="1"/>
  <c r="L95" i="8" s="1"/>
  <c r="M95" i="8" s="1"/>
  <c r="L90" i="8" a="1"/>
  <c r="L90" i="8" s="1"/>
  <c r="M90" i="8" s="1"/>
  <c r="L87" i="8" a="1"/>
  <c r="L87" i="8" s="1"/>
  <c r="M87" i="8" s="1"/>
  <c r="L82" i="8" a="1"/>
  <c r="L82" i="8" s="1"/>
  <c r="M82" i="8" s="1"/>
  <c r="L79" i="8" a="1"/>
  <c r="L79" i="8" s="1"/>
  <c r="M79" i="8" s="1"/>
  <c r="L74" i="8" a="1"/>
  <c r="L74" i="8" s="1"/>
  <c r="M74" i="8" s="1"/>
  <c r="L71" i="8" a="1"/>
  <c r="L71" i="8" s="1"/>
  <c r="M71" i="8" s="1"/>
  <c r="L66" i="8" a="1"/>
  <c r="L66" i="8" s="1"/>
  <c r="M66" i="8" s="1"/>
  <c r="L63" i="8" a="1"/>
  <c r="L63" i="8" s="1"/>
  <c r="M63" i="8" s="1"/>
  <c r="L58" i="8" a="1"/>
  <c r="L58" i="8" s="1"/>
  <c r="M58" i="8" s="1"/>
  <c r="L55" i="8" a="1"/>
  <c r="L55" i="8" s="1"/>
  <c r="M55" i="8" s="1"/>
  <c r="L50" i="8" a="1"/>
  <c r="L50" i="8" s="1"/>
  <c r="M50" i="8" s="1"/>
  <c r="L47" i="8" a="1"/>
  <c r="L47" i="8" s="1"/>
  <c r="M47" i="8" s="1"/>
  <c r="L44" i="8" a="1"/>
  <c r="L44" i="8" s="1"/>
  <c r="M44" i="8" s="1"/>
  <c r="L40" i="8" a="1"/>
  <c r="L40" i="8" s="1"/>
  <c r="M40" i="8" s="1"/>
  <c r="L36" i="8" a="1"/>
  <c r="L36" i="8" s="1"/>
  <c r="M36" i="8" s="1"/>
  <c r="L32" i="8" a="1"/>
  <c r="L32" i="8" s="1"/>
  <c r="M32" i="8" s="1"/>
  <c r="L28" i="8" a="1"/>
  <c r="L28" i="8" s="1"/>
  <c r="M28" i="8" s="1"/>
  <c r="L24" i="8" a="1"/>
  <c r="L24" i="8" s="1"/>
  <c r="M24" i="8" s="1"/>
  <c r="L20" i="8" a="1"/>
  <c r="L20" i="8" s="1"/>
  <c r="M20" i="8" s="1"/>
  <c r="L16" i="8" a="1"/>
  <c r="L16" i="8" s="1"/>
  <c r="M16" i="8" s="1"/>
  <c r="L100" i="8" a="1"/>
  <c r="L100" i="8" s="1"/>
  <c r="M100" i="8" s="1"/>
  <c r="L97" i="8" a="1"/>
  <c r="L97" i="8" s="1"/>
  <c r="M97" i="8" s="1"/>
  <c r="L92" i="8" a="1"/>
  <c r="L92" i="8" s="1"/>
  <c r="M92" i="8" s="1"/>
  <c r="L89" i="8" a="1"/>
  <c r="L89" i="8" s="1"/>
  <c r="M89" i="8" s="1"/>
  <c r="L84" i="8" a="1"/>
  <c r="L84" i="8" s="1"/>
  <c r="M84" i="8" s="1"/>
  <c r="L81" i="8" a="1"/>
  <c r="L81" i="8" s="1"/>
  <c r="M81" i="8" s="1"/>
  <c r="L76" i="8" a="1"/>
  <c r="L76" i="8" s="1"/>
  <c r="M76" i="8" s="1"/>
  <c r="L73" i="8" a="1"/>
  <c r="L73" i="8" s="1"/>
  <c r="M73" i="8" s="1"/>
  <c r="L68" i="8" a="1"/>
  <c r="L68" i="8" s="1"/>
  <c r="M68" i="8" s="1"/>
  <c r="L65" i="8" a="1"/>
  <c r="L65" i="8" s="1"/>
  <c r="M65" i="8" s="1"/>
  <c r="L60" i="8" a="1"/>
  <c r="L60" i="8" s="1"/>
  <c r="M60" i="8" s="1"/>
  <c r="L57" i="8" a="1"/>
  <c r="L57" i="8" s="1"/>
  <c r="M57" i="8" s="1"/>
  <c r="L52" i="8" a="1"/>
  <c r="L52" i="8" s="1"/>
  <c r="M52" i="8" s="1"/>
  <c r="L49" i="8" a="1"/>
  <c r="L49" i="8" s="1"/>
  <c r="M49" i="8" s="1"/>
  <c r="O2" i="8"/>
  <c r="L71" i="4" a="1"/>
  <c r="L71" i="4" s="1"/>
  <c r="M71" i="4" s="1"/>
  <c r="L99" i="5" a="1"/>
  <c r="L99" i="5" s="1"/>
  <c r="M99" i="5" s="1"/>
  <c r="L97" i="5" a="1"/>
  <c r="L97" i="5" s="1"/>
  <c r="M97" i="5" s="1"/>
  <c r="L95" i="5" a="1"/>
  <c r="L95" i="5" s="1"/>
  <c r="M95" i="5" s="1"/>
  <c r="L93" i="5" a="1"/>
  <c r="L93" i="5" s="1"/>
  <c r="M93" i="5" s="1"/>
  <c r="L91" i="5" a="1"/>
  <c r="L91" i="5" s="1"/>
  <c r="M91" i="5" s="1"/>
  <c r="L89" i="5" a="1"/>
  <c r="L89" i="5" s="1"/>
  <c r="M89" i="5" s="1"/>
  <c r="L87" i="5" a="1"/>
  <c r="L87" i="5" s="1"/>
  <c r="M87" i="5" s="1"/>
  <c r="P2" i="5"/>
  <c r="L100" i="5" a="1"/>
  <c r="L100" i="5" s="1"/>
  <c r="M100" i="5" s="1"/>
  <c r="L98" i="5" a="1"/>
  <c r="L98" i="5" s="1"/>
  <c r="M98" i="5" s="1"/>
  <c r="L96" i="5" a="1"/>
  <c r="L96" i="5" s="1"/>
  <c r="M96" i="5" s="1"/>
  <c r="L94" i="5" a="1"/>
  <c r="L94" i="5" s="1"/>
  <c r="M94" i="5" s="1"/>
  <c r="L92" i="5" a="1"/>
  <c r="L92" i="5" s="1"/>
  <c r="M92" i="5" s="1"/>
  <c r="L90" i="5" a="1"/>
  <c r="L90" i="5" s="1"/>
  <c r="M90" i="5" s="1"/>
  <c r="L88" i="5" a="1"/>
  <c r="L88" i="5" s="1"/>
  <c r="M88" i="5" s="1"/>
  <c r="L86" i="5" a="1"/>
  <c r="L86" i="5" s="1"/>
  <c r="M86" i="5" s="1"/>
  <c r="L6" i="5" a="1"/>
  <c r="L6" i="5" s="1"/>
  <c r="M6" i="5" s="1"/>
  <c r="L2" i="5" a="1"/>
  <c r="L2" i="5" s="1"/>
  <c r="M2" i="5" s="1"/>
  <c r="L84" i="5" a="1"/>
  <c r="L84" i="5" s="1"/>
  <c r="M84" i="5" s="1"/>
  <c r="I3" i="5"/>
  <c r="L4" i="5" a="1"/>
  <c r="L4" i="5" s="1"/>
  <c r="M4" i="5" s="1"/>
  <c r="L3" i="5" a="1"/>
  <c r="L3" i="5" s="1"/>
  <c r="M3" i="5" s="1"/>
  <c r="L5" i="5" a="1"/>
  <c r="L5" i="5" s="1"/>
  <c r="M5" i="5" s="1"/>
  <c r="L7" i="5" a="1"/>
  <c r="L7" i="5" s="1"/>
  <c r="M7" i="5" s="1"/>
  <c r="L9" i="5" a="1"/>
  <c r="L9" i="5" s="1"/>
  <c r="M9" i="5" s="1"/>
  <c r="L11" i="5" a="1"/>
  <c r="L11" i="5" s="1"/>
  <c r="M11" i="5" s="1"/>
  <c r="L13" i="5" a="1"/>
  <c r="L13" i="5" s="1"/>
  <c r="M13" i="5" s="1"/>
  <c r="L15" i="5" a="1"/>
  <c r="L15" i="5" s="1"/>
  <c r="M15" i="5" s="1"/>
  <c r="L17" i="5" a="1"/>
  <c r="L17" i="5" s="1"/>
  <c r="M17" i="5" s="1"/>
  <c r="L19" i="5" a="1"/>
  <c r="L19" i="5" s="1"/>
  <c r="M19" i="5" s="1"/>
  <c r="L21" i="5" a="1"/>
  <c r="L21" i="5" s="1"/>
  <c r="M21" i="5" s="1"/>
  <c r="L23" i="5" a="1"/>
  <c r="L23" i="5" s="1"/>
  <c r="M23" i="5" s="1"/>
  <c r="L25" i="5" a="1"/>
  <c r="L25" i="5" s="1"/>
  <c r="M25" i="5" s="1"/>
  <c r="L27" i="5" a="1"/>
  <c r="L27" i="5" s="1"/>
  <c r="M27" i="5" s="1"/>
  <c r="L29" i="5" a="1"/>
  <c r="L29" i="5" s="1"/>
  <c r="M29" i="5" s="1"/>
  <c r="L31" i="5" a="1"/>
  <c r="L31" i="5" s="1"/>
  <c r="M31" i="5" s="1"/>
  <c r="L33" i="5" a="1"/>
  <c r="L33" i="5" s="1"/>
  <c r="M33" i="5" s="1"/>
  <c r="L35" i="5" a="1"/>
  <c r="L35" i="5" s="1"/>
  <c r="M35" i="5" s="1"/>
  <c r="L37" i="5" a="1"/>
  <c r="L37" i="5" s="1"/>
  <c r="M37" i="5" s="1"/>
  <c r="L39" i="5" a="1"/>
  <c r="L39" i="5" s="1"/>
  <c r="M39" i="5" s="1"/>
  <c r="L41" i="5" a="1"/>
  <c r="L41" i="5" s="1"/>
  <c r="M41" i="5" s="1"/>
  <c r="L43" i="5" a="1"/>
  <c r="L43" i="5" s="1"/>
  <c r="M43" i="5" s="1"/>
  <c r="L45" i="5" a="1"/>
  <c r="L45" i="5" s="1"/>
  <c r="M45" i="5" s="1"/>
  <c r="L47" i="5" a="1"/>
  <c r="L47" i="5" s="1"/>
  <c r="M47" i="5" s="1"/>
  <c r="L49" i="5" a="1"/>
  <c r="L49" i="5" s="1"/>
  <c r="M49" i="5" s="1"/>
  <c r="L51" i="5" a="1"/>
  <c r="L51" i="5" s="1"/>
  <c r="M51" i="5" s="1"/>
  <c r="L53" i="5" a="1"/>
  <c r="L53" i="5" s="1"/>
  <c r="M53" i="5" s="1"/>
  <c r="L55" i="5" a="1"/>
  <c r="L55" i="5" s="1"/>
  <c r="M55" i="5" s="1"/>
  <c r="L57" i="5" a="1"/>
  <c r="L57" i="5" s="1"/>
  <c r="M57" i="5" s="1"/>
  <c r="L59" i="5" a="1"/>
  <c r="L59" i="5" s="1"/>
  <c r="M59" i="5" s="1"/>
  <c r="L61" i="5" a="1"/>
  <c r="L61" i="5" s="1"/>
  <c r="M61" i="5" s="1"/>
  <c r="L63" i="5" a="1"/>
  <c r="L63" i="5" s="1"/>
  <c r="M63" i="5" s="1"/>
  <c r="L65" i="5" a="1"/>
  <c r="L65" i="5" s="1"/>
  <c r="M65" i="5" s="1"/>
  <c r="L67" i="5" a="1"/>
  <c r="L67" i="5" s="1"/>
  <c r="M67" i="5" s="1"/>
  <c r="L69" i="5" a="1"/>
  <c r="L69" i="5" s="1"/>
  <c r="M69" i="5" s="1"/>
  <c r="L71" i="5" a="1"/>
  <c r="L71" i="5" s="1"/>
  <c r="M71" i="5" s="1"/>
  <c r="L73" i="5" a="1"/>
  <c r="L73" i="5" s="1"/>
  <c r="M73" i="5" s="1"/>
  <c r="L75" i="5" a="1"/>
  <c r="L75" i="5" s="1"/>
  <c r="M75" i="5" s="1"/>
  <c r="L77" i="5" a="1"/>
  <c r="L77" i="5" s="1"/>
  <c r="M77" i="5" s="1"/>
  <c r="L79" i="5" a="1"/>
  <c r="L79" i="5" s="1"/>
  <c r="M79" i="5" s="1"/>
  <c r="L81" i="5" a="1"/>
  <c r="L81" i="5" s="1"/>
  <c r="M81" i="5" s="1"/>
  <c r="L83" i="5" a="1"/>
  <c r="L83" i="5" s="1"/>
  <c r="M83" i="5" s="1"/>
  <c r="L85" i="5" a="1"/>
  <c r="L85" i="5" s="1"/>
  <c r="M85" i="5" s="1"/>
  <c r="L8" i="5" a="1"/>
  <c r="L8" i="5" s="1"/>
  <c r="M8" i="5" s="1"/>
  <c r="L10" i="5" a="1"/>
  <c r="L10" i="5" s="1"/>
  <c r="M10" i="5" s="1"/>
  <c r="L12" i="5" a="1"/>
  <c r="L12" i="5" s="1"/>
  <c r="M12" i="5" s="1"/>
  <c r="L14" i="5" a="1"/>
  <c r="L14" i="5" s="1"/>
  <c r="M14" i="5" s="1"/>
  <c r="L16" i="5" a="1"/>
  <c r="L16" i="5" s="1"/>
  <c r="M16" i="5" s="1"/>
  <c r="L18" i="5" a="1"/>
  <c r="L18" i="5" s="1"/>
  <c r="M18" i="5" s="1"/>
  <c r="L20" i="5" a="1"/>
  <c r="L20" i="5" s="1"/>
  <c r="M20" i="5" s="1"/>
  <c r="L22" i="5" a="1"/>
  <c r="L22" i="5" s="1"/>
  <c r="M22" i="5" s="1"/>
  <c r="L24" i="5" a="1"/>
  <c r="L24" i="5" s="1"/>
  <c r="M24" i="5" s="1"/>
  <c r="L26" i="5" a="1"/>
  <c r="L26" i="5" s="1"/>
  <c r="M26" i="5" s="1"/>
  <c r="L28" i="5" a="1"/>
  <c r="L28" i="5" s="1"/>
  <c r="M28" i="5" s="1"/>
  <c r="L30" i="5" a="1"/>
  <c r="L30" i="5" s="1"/>
  <c r="M30" i="5" s="1"/>
  <c r="L32" i="5" a="1"/>
  <c r="L32" i="5" s="1"/>
  <c r="M32" i="5" s="1"/>
  <c r="L34" i="5" a="1"/>
  <c r="L34" i="5" s="1"/>
  <c r="M34" i="5" s="1"/>
  <c r="L36" i="5" a="1"/>
  <c r="L36" i="5" s="1"/>
  <c r="M36" i="5" s="1"/>
  <c r="L38" i="5" a="1"/>
  <c r="L38" i="5" s="1"/>
  <c r="M38" i="5" s="1"/>
  <c r="L40" i="5" a="1"/>
  <c r="L40" i="5" s="1"/>
  <c r="M40" i="5" s="1"/>
  <c r="L42" i="5" a="1"/>
  <c r="L42" i="5" s="1"/>
  <c r="M42" i="5" s="1"/>
  <c r="L44" i="5" a="1"/>
  <c r="L44" i="5" s="1"/>
  <c r="M44" i="5" s="1"/>
  <c r="L46" i="5" a="1"/>
  <c r="L46" i="5" s="1"/>
  <c r="M46" i="5" s="1"/>
  <c r="L48" i="5" a="1"/>
  <c r="L48" i="5" s="1"/>
  <c r="M48" i="5" s="1"/>
  <c r="L50" i="5" a="1"/>
  <c r="L50" i="5" s="1"/>
  <c r="M50" i="5" s="1"/>
  <c r="L52" i="5" a="1"/>
  <c r="L52" i="5" s="1"/>
  <c r="M52" i="5" s="1"/>
  <c r="L54" i="5" a="1"/>
  <c r="L54" i="5" s="1"/>
  <c r="M54" i="5" s="1"/>
  <c r="L56" i="5" a="1"/>
  <c r="L56" i="5" s="1"/>
  <c r="M56" i="5" s="1"/>
  <c r="L58" i="5" a="1"/>
  <c r="L58" i="5" s="1"/>
  <c r="M58" i="5" s="1"/>
  <c r="L60" i="5" a="1"/>
  <c r="L60" i="5" s="1"/>
  <c r="M60" i="5" s="1"/>
  <c r="L62" i="5" a="1"/>
  <c r="L62" i="5" s="1"/>
  <c r="M62" i="5" s="1"/>
  <c r="L64" i="5" a="1"/>
  <c r="L64" i="5" s="1"/>
  <c r="M64" i="5" s="1"/>
  <c r="L66" i="5" a="1"/>
  <c r="L66" i="5" s="1"/>
  <c r="M66" i="5" s="1"/>
  <c r="L68" i="5" a="1"/>
  <c r="L68" i="5" s="1"/>
  <c r="M68" i="5" s="1"/>
  <c r="L70" i="5" a="1"/>
  <c r="L70" i="5" s="1"/>
  <c r="M70" i="5" s="1"/>
  <c r="L72" i="5" a="1"/>
  <c r="L72" i="5" s="1"/>
  <c r="M72" i="5" s="1"/>
  <c r="L74" i="5" a="1"/>
  <c r="L74" i="5" s="1"/>
  <c r="M74" i="5" s="1"/>
  <c r="L76" i="5" a="1"/>
  <c r="L76" i="5" s="1"/>
  <c r="M76" i="5" s="1"/>
  <c r="L78" i="5" a="1"/>
  <c r="L78" i="5" s="1"/>
  <c r="M78" i="5" s="1"/>
  <c r="L80" i="5" a="1"/>
  <c r="L80" i="5" s="1"/>
  <c r="M80" i="5" s="1"/>
  <c r="L82" i="5" a="1"/>
  <c r="L82" i="5" s="1"/>
  <c r="M82" i="5" s="1"/>
  <c r="L54" i="4" a="1"/>
  <c r="L54" i="4" s="1"/>
  <c r="M54" i="4" s="1"/>
  <c r="L42" i="4" a="1"/>
  <c r="L42" i="4" s="1"/>
  <c r="M42" i="4" s="1"/>
  <c r="L28" i="4" a="1"/>
  <c r="L28" i="4" s="1"/>
  <c r="M28" i="4" s="1"/>
  <c r="L27" i="4" a="1"/>
  <c r="L27" i="4" s="1"/>
  <c r="M27" i="4" s="1"/>
  <c r="L23" i="4" a="1"/>
  <c r="L23" i="4" s="1"/>
  <c r="M23" i="4" s="1"/>
  <c r="L26" i="4" a="1"/>
  <c r="L26" i="4" s="1"/>
  <c r="M26" i="4" s="1"/>
  <c r="L20" i="4" a="1"/>
  <c r="L20" i="4" s="1"/>
  <c r="M20" i="4" s="1"/>
  <c r="L38" i="4" a="1"/>
  <c r="L38" i="4" s="1"/>
  <c r="M38" i="4" s="1"/>
  <c r="L4" i="4" a="1"/>
  <c r="L4" i="4" s="1"/>
  <c r="M4" i="4" s="1"/>
  <c r="L62" i="4" a="1"/>
  <c r="L62" i="4" s="1"/>
  <c r="M62" i="4" s="1"/>
  <c r="L10" i="4" a="1"/>
  <c r="L10" i="4" s="1"/>
  <c r="M10" i="4" s="1"/>
  <c r="L63" i="4" a="1"/>
  <c r="L63" i="4" s="1"/>
  <c r="M63" i="4" s="1"/>
  <c r="L12" i="4" a="1"/>
  <c r="L12" i="4" s="1"/>
  <c r="M12" i="4" s="1"/>
  <c r="L17" i="4" a="1"/>
  <c r="L17" i="4" s="1"/>
  <c r="M17" i="4" s="1"/>
  <c r="L56" i="4" a="1"/>
  <c r="L56" i="4" s="1"/>
  <c r="M56" i="4" s="1"/>
  <c r="L32" i="4" a="1"/>
  <c r="L32" i="4" s="1"/>
  <c r="M32" i="4" s="1"/>
  <c r="L31" i="4" a="1"/>
  <c r="L31" i="4" s="1"/>
  <c r="M31" i="4" s="1"/>
  <c r="L55" i="4" a="1"/>
  <c r="L55" i="4" s="1"/>
  <c r="M55" i="4" s="1"/>
  <c r="L24" i="4" a="1"/>
  <c r="L24" i="4" s="1"/>
  <c r="M24" i="4" s="1"/>
  <c r="L58" i="4" a="1"/>
  <c r="L58" i="4" s="1"/>
  <c r="M58" i="4" s="1"/>
  <c r="L68" i="4" a="1"/>
  <c r="L68" i="4" s="1"/>
  <c r="M68" i="4" s="1"/>
  <c r="L25" i="4" a="1"/>
  <c r="L25" i="4" s="1"/>
  <c r="M25" i="4" s="1"/>
  <c r="L64" i="4" a="1"/>
  <c r="L64" i="4" s="1"/>
  <c r="M64" i="4" s="1"/>
  <c r="L13" i="4" a="1"/>
  <c r="L13" i="4" s="1"/>
  <c r="M13" i="4" s="1"/>
  <c r="L59" i="4" a="1"/>
  <c r="L59" i="4" s="1"/>
  <c r="M59" i="4" s="1"/>
  <c r="L14" i="4" a="1"/>
  <c r="L14" i="4" s="1"/>
  <c r="M14" i="4" s="1"/>
  <c r="L61" i="4" a="1"/>
  <c r="L61" i="4" s="1"/>
  <c r="M61" i="4" s="1"/>
  <c r="L15" i="4" a="1"/>
  <c r="L15" i="4" s="1"/>
  <c r="M15" i="4" s="1"/>
  <c r="L39" i="4" a="1"/>
  <c r="L39" i="4" s="1"/>
  <c r="M39" i="4" s="1"/>
  <c r="L22" i="4" a="1"/>
  <c r="L22" i="4" s="1"/>
  <c r="M22" i="4" s="1"/>
  <c r="L70" i="4" a="1"/>
  <c r="L70" i="4" s="1"/>
  <c r="M70" i="4" s="1"/>
  <c r="L48" i="4" a="1"/>
  <c r="L48" i="4" s="1"/>
  <c r="M48" i="4" s="1"/>
  <c r="L45" i="4" a="1"/>
  <c r="L45" i="4" s="1"/>
  <c r="M45" i="4" s="1"/>
  <c r="L36" i="4" a="1"/>
  <c r="L36" i="4" s="1"/>
  <c r="M36" i="4" s="1"/>
  <c r="L67" i="4" a="1"/>
  <c r="L67" i="4" s="1"/>
  <c r="M67" i="4" s="1"/>
  <c r="L37" i="4" a="1"/>
  <c r="L37" i="4" s="1"/>
  <c r="M37" i="4" s="1"/>
  <c r="L21" i="4" a="1"/>
  <c r="L21" i="4" s="1"/>
  <c r="M21" i="4" s="1"/>
  <c r="L29" i="4" a="1"/>
  <c r="L29" i="4" s="1"/>
  <c r="M29" i="4" s="1"/>
  <c r="L44" i="4" a="1"/>
  <c r="L44" i="4" s="1"/>
  <c r="M44" i="4" s="1"/>
  <c r="L52" i="4" a="1"/>
  <c r="L52" i="4" s="1"/>
  <c r="M52" i="4" s="1"/>
  <c r="L50" i="4" a="1"/>
  <c r="L50" i="4" s="1"/>
  <c r="M50" i="4" s="1"/>
  <c r="L11" i="4" a="1"/>
  <c r="L11" i="4" s="1"/>
  <c r="M11" i="4" s="1"/>
  <c r="L35" i="4" a="1"/>
  <c r="L35" i="4" s="1"/>
  <c r="M35" i="4" s="1"/>
  <c r="L43" i="4" a="1"/>
  <c r="L43" i="4" s="1"/>
  <c r="M43" i="4" s="1"/>
  <c r="L41" i="4" a="1"/>
  <c r="L41" i="4" s="1"/>
  <c r="M41" i="4" s="1"/>
  <c r="L49" i="4" a="1"/>
  <c r="L49" i="4" s="1"/>
  <c r="M49" i="4" s="1"/>
  <c r="L65" i="4" a="1"/>
  <c r="L65" i="4" s="1"/>
  <c r="M65" i="4" s="1"/>
  <c r="L60" i="4" a="1"/>
  <c r="L60" i="4" s="1"/>
  <c r="M60" i="4" s="1"/>
  <c r="L47" i="4" a="1"/>
  <c r="L47" i="4" s="1"/>
  <c r="M47" i="4" s="1"/>
  <c r="L19" i="4" a="1"/>
  <c r="L19" i="4" s="1"/>
  <c r="M19" i="4" s="1"/>
  <c r="L57" i="4" a="1"/>
  <c r="L57" i="4" s="1"/>
  <c r="M57" i="4" s="1"/>
  <c r="L51" i="4" a="1"/>
  <c r="L51" i="4" s="1"/>
  <c r="M51" i="4" s="1"/>
  <c r="L2" i="4" a="1"/>
  <c r="L2" i="4" s="1"/>
  <c r="M2" i="4" s="1"/>
  <c r="L46" i="4" a="1"/>
  <c r="L46" i="4" s="1"/>
  <c r="M46" i="4" s="1"/>
  <c r="L5" i="4" a="1"/>
  <c r="L5" i="4" s="1"/>
  <c r="M5" i="4" s="1"/>
  <c r="L69" i="4" a="1"/>
  <c r="L69" i="4" s="1"/>
  <c r="M69" i="4" s="1"/>
  <c r="L66" i="4" a="1"/>
  <c r="L66" i="4" s="1"/>
  <c r="M66" i="4" s="1"/>
  <c r="L33" i="4" a="1"/>
  <c r="L33" i="4" s="1"/>
  <c r="M33" i="4" s="1"/>
  <c r="L53" i="4" a="1"/>
  <c r="L53" i="4" s="1"/>
  <c r="M53" i="4" s="1"/>
  <c r="L9" i="4" a="1"/>
  <c r="L9" i="4" s="1"/>
  <c r="M9" i="4" s="1"/>
  <c r="L16" i="4" a="1"/>
  <c r="L16" i="4" s="1"/>
  <c r="M16" i="4" s="1"/>
  <c r="L6" i="4" a="1"/>
  <c r="L6" i="4" s="1"/>
  <c r="M6" i="4" s="1"/>
  <c r="L7" i="4" a="1"/>
  <c r="L7" i="4" s="1"/>
  <c r="M7" i="4" s="1"/>
  <c r="L8" i="4" a="1"/>
  <c r="L8" i="4" s="1"/>
  <c r="M8" i="4" s="1"/>
  <c r="L30" i="4" a="1"/>
  <c r="L30" i="4" s="1"/>
  <c r="M30" i="4" s="1"/>
  <c r="L40" i="4" a="1"/>
  <c r="L40" i="4" s="1"/>
  <c r="M40" i="4" s="1"/>
  <c r="L18" i="4" a="1"/>
  <c r="L18" i="4" s="1"/>
  <c r="M18" i="4" s="1"/>
  <c r="L3" i="4" a="1"/>
  <c r="L3" i="4" s="1"/>
  <c r="M3" i="4" s="1"/>
  <c r="L34" i="4" a="1"/>
  <c r="L34" i="4" s="1"/>
  <c r="M34" i="4" s="1"/>
  <c r="P2" i="4"/>
  <c r="I34" i="4"/>
  <c r="L38" i="2" a="1"/>
  <c r="L38" i="2" s="1"/>
  <c r="M38" i="2" s="1"/>
  <c r="L66" i="2" a="1"/>
  <c r="L66" i="2" s="1"/>
  <c r="M66" i="2" s="1"/>
  <c r="L22" i="2" a="1"/>
  <c r="L22" i="2" s="1"/>
  <c r="M22" i="2" s="1"/>
  <c r="L27" i="2" a="1"/>
  <c r="L27" i="2" s="1"/>
  <c r="M27" i="2" s="1"/>
  <c r="L42" i="2" a="1"/>
  <c r="L42" i="2" s="1"/>
  <c r="M42" i="2" s="1"/>
  <c r="L51" i="2" a="1"/>
  <c r="L51" i="2" s="1"/>
  <c r="M51" i="2" s="1"/>
  <c r="L65" i="2" a="1"/>
  <c r="L65" i="2" s="1"/>
  <c r="M65" i="2" s="1"/>
  <c r="L84" i="2" a="1"/>
  <c r="L84" i="2" s="1"/>
  <c r="M84" i="2" s="1"/>
  <c r="I4" i="2"/>
  <c r="L70" i="2" a="1"/>
  <c r="L70" i="2" s="1"/>
  <c r="M70" i="2" s="1"/>
  <c r="L43" i="2" a="1"/>
  <c r="L43" i="2" s="1"/>
  <c r="M43" i="2" s="1"/>
  <c r="L19" i="2" a="1"/>
  <c r="L19" i="2" s="1"/>
  <c r="M19" i="2" s="1"/>
  <c r="L63" i="2" a="1"/>
  <c r="L63" i="2" s="1"/>
  <c r="M63" i="2" s="1"/>
  <c r="L83" i="2" a="1"/>
  <c r="L83" i="2" s="1"/>
  <c r="M83" i="2" s="1"/>
  <c r="L2" i="2" a="1"/>
  <c r="L2" i="2" s="1"/>
  <c r="M2" i="2" s="1"/>
  <c r="L11" i="2" a="1"/>
  <c r="L11" i="2" s="1"/>
  <c r="M11" i="2" s="1"/>
  <c r="L82" i="2" a="1"/>
  <c r="L82" i="2" s="1"/>
  <c r="M82" i="2" s="1"/>
  <c r="L50" i="2" a="1"/>
  <c r="L50" i="2" s="1"/>
  <c r="M50" i="2" s="1"/>
  <c r="L48" i="2" a="1"/>
  <c r="L48" i="2" s="1"/>
  <c r="M48" i="2" s="1"/>
  <c r="L41" i="2" a="1"/>
  <c r="L41" i="2" s="1"/>
  <c r="M41" i="2" s="1"/>
  <c r="L71" i="2" a="1"/>
  <c r="L71" i="2" s="1"/>
  <c r="M71" i="2" s="1"/>
  <c r="L8" i="2" a="1"/>
  <c r="L8" i="2" s="1"/>
  <c r="M8" i="2" s="1"/>
  <c r="L61" i="2" a="1"/>
  <c r="L61" i="2" s="1"/>
  <c r="M61" i="2" s="1"/>
  <c r="L69" i="2" a="1"/>
  <c r="L69" i="2" s="1"/>
  <c r="M69" i="2" s="1"/>
  <c r="L34" i="2" a="1"/>
  <c r="L34" i="2" s="1"/>
  <c r="M34" i="2" s="1"/>
  <c r="L60" i="2" a="1"/>
  <c r="L60" i="2" s="1"/>
  <c r="M60" i="2" s="1"/>
  <c r="L64" i="2" a="1"/>
  <c r="L64" i="2" s="1"/>
  <c r="M64" i="2" s="1"/>
  <c r="L24" i="2" a="1"/>
  <c r="L24" i="2" s="1"/>
  <c r="M24" i="2" s="1"/>
  <c r="L78" i="2" a="1"/>
  <c r="L78" i="2" s="1"/>
  <c r="M78" i="2" s="1"/>
  <c r="L49" i="2" a="1"/>
  <c r="L49" i="2" s="1"/>
  <c r="M49" i="2" s="1"/>
  <c r="L62" i="2" a="1"/>
  <c r="L62" i="2" s="1"/>
  <c r="M62" i="2" s="1"/>
  <c r="L80" i="2" a="1"/>
  <c r="L80" i="2" s="1"/>
  <c r="M80" i="2" s="1"/>
  <c r="L14" i="2" a="1"/>
  <c r="L14" i="2" s="1"/>
  <c r="M14" i="2" s="1"/>
  <c r="L15" i="2" a="1"/>
  <c r="L15" i="2" s="1"/>
  <c r="M15" i="2" s="1"/>
  <c r="L47" i="2" a="1"/>
  <c r="L47" i="2" s="1"/>
  <c r="M47" i="2" s="1"/>
  <c r="L79" i="2" a="1"/>
  <c r="L79" i="2" s="1"/>
  <c r="M79" i="2" s="1"/>
  <c r="L28" i="2" a="1"/>
  <c r="L28" i="2" s="1"/>
  <c r="M28" i="2" s="1"/>
  <c r="L26" i="2" a="1"/>
  <c r="L26" i="2" s="1"/>
  <c r="M26" i="2" s="1"/>
  <c r="L23" i="2" a="1"/>
  <c r="L23" i="2" s="1"/>
  <c r="M23" i="2" s="1"/>
  <c r="L56" i="2" a="1"/>
  <c r="L56" i="2" s="1"/>
  <c r="M56" i="2" s="1"/>
  <c r="L18" i="2" a="1"/>
  <c r="L18" i="2" s="1"/>
  <c r="M18" i="2" s="1"/>
  <c r="L36" i="2" a="1"/>
  <c r="L36" i="2" s="1"/>
  <c r="M36" i="2" s="1"/>
  <c r="L12" i="2" a="1"/>
  <c r="L12" i="2" s="1"/>
  <c r="M12" i="2" s="1"/>
  <c r="L85" i="2" a="1"/>
  <c r="L85" i="2" s="1"/>
  <c r="M85" i="2" s="1"/>
  <c r="L77" i="2" a="1"/>
  <c r="L77" i="2" s="1"/>
  <c r="M77" i="2" s="1"/>
  <c r="L52" i="2" a="1"/>
  <c r="L52" i="2" s="1"/>
  <c r="M52" i="2" s="1"/>
  <c r="L7" i="2" a="1"/>
  <c r="L7" i="2" s="1"/>
  <c r="M7" i="2" s="1"/>
  <c r="L75" i="2" a="1"/>
  <c r="L75" i="2" s="1"/>
  <c r="M75" i="2" s="1"/>
  <c r="L20" i="2" a="1"/>
  <c r="L20" i="2" s="1"/>
  <c r="M20" i="2" s="1"/>
  <c r="L5" i="2" a="1"/>
  <c r="L5" i="2" s="1"/>
  <c r="M5" i="2" s="1"/>
  <c r="L74" i="2" a="1"/>
  <c r="L74" i="2" s="1"/>
  <c r="M74" i="2" s="1"/>
  <c r="L53" i="2" a="1"/>
  <c r="L53" i="2" s="1"/>
  <c r="M53" i="2" s="1"/>
  <c r="L46" i="2" a="1"/>
  <c r="L46" i="2" s="1"/>
  <c r="M46" i="2" s="1"/>
  <c r="L13" i="2" a="1"/>
  <c r="L13" i="2" s="1"/>
  <c r="M13" i="2" s="1"/>
  <c r="L81" i="2" a="1"/>
  <c r="L81" i="2" s="1"/>
  <c r="M81" i="2" s="1"/>
  <c r="L72" i="2" a="1"/>
  <c r="L72" i="2" s="1"/>
  <c r="M72" i="2" s="1"/>
  <c r="L33" i="2" a="1"/>
  <c r="L33" i="2" s="1"/>
  <c r="M33" i="2" s="1"/>
  <c r="L31" i="2" a="1"/>
  <c r="L31" i="2" s="1"/>
  <c r="M31" i="2" s="1"/>
  <c r="L57" i="2" a="1"/>
  <c r="L57" i="2" s="1"/>
  <c r="M57" i="2" s="1"/>
  <c r="L40" i="2" a="1"/>
  <c r="L40" i="2" s="1"/>
  <c r="M40" i="2" s="1"/>
  <c r="L32" i="2" a="1"/>
  <c r="L32" i="2" s="1"/>
  <c r="M32" i="2" s="1"/>
  <c r="L37" i="2" a="1"/>
  <c r="L37" i="2" s="1"/>
  <c r="M37" i="2" s="1"/>
  <c r="L59" i="2" a="1"/>
  <c r="L59" i="2" s="1"/>
  <c r="M59" i="2" s="1"/>
  <c r="L45" i="2" a="1"/>
  <c r="L45" i="2" s="1"/>
  <c r="M45" i="2" s="1"/>
  <c r="L9" i="2" a="1"/>
  <c r="L9" i="2" s="1"/>
  <c r="M9" i="2" s="1"/>
  <c r="L21" i="2" a="1"/>
  <c r="L21" i="2" s="1"/>
  <c r="M21" i="2" s="1"/>
  <c r="L25" i="2" a="1"/>
  <c r="L25" i="2" s="1"/>
  <c r="M25" i="2" s="1"/>
  <c r="L16" i="2" a="1"/>
  <c r="L16" i="2" s="1"/>
  <c r="M16" i="2" s="1"/>
  <c r="L6" i="2" a="1"/>
  <c r="L6" i="2" s="1"/>
  <c r="M6" i="2" s="1"/>
  <c r="L55" i="2" a="1"/>
  <c r="L55" i="2" s="1"/>
  <c r="M55" i="2" s="1"/>
  <c r="L4" i="2" a="1"/>
  <c r="L4" i="2" s="1"/>
  <c r="M4" i="2" s="1"/>
  <c r="L68" i="2" a="1"/>
  <c r="L68" i="2" s="1"/>
  <c r="M68" i="2" s="1"/>
  <c r="L29" i="2" a="1"/>
  <c r="L29" i="2" s="1"/>
  <c r="M29" i="2" s="1"/>
  <c r="L17" i="2" a="1"/>
  <c r="L17" i="2" s="1"/>
  <c r="M17" i="2" s="1"/>
  <c r="L35" i="2" a="1"/>
  <c r="L35" i="2" s="1"/>
  <c r="M35" i="2" s="1"/>
  <c r="L39" i="2" a="1"/>
  <c r="L39" i="2" s="1"/>
  <c r="M39" i="2" s="1"/>
  <c r="L44" i="2" a="1"/>
  <c r="L44" i="2" s="1"/>
  <c r="M44" i="2" s="1"/>
  <c r="L10" i="2" a="1"/>
  <c r="L10" i="2" s="1"/>
  <c r="M10" i="2" s="1"/>
  <c r="L30" i="2" a="1"/>
  <c r="L30" i="2" s="1"/>
  <c r="M30" i="2" s="1"/>
  <c r="L67" i="2" a="1"/>
  <c r="L67" i="2" s="1"/>
  <c r="M67" i="2" s="1"/>
  <c r="L54" i="2" a="1"/>
  <c r="L54" i="2" s="1"/>
  <c r="M54" i="2" s="1"/>
  <c r="L76" i="2" a="1"/>
  <c r="L76" i="2" s="1"/>
  <c r="M76" i="2" s="1"/>
  <c r="L58" i="2" a="1"/>
  <c r="L58" i="2" s="1"/>
  <c r="M58" i="2" s="1"/>
  <c r="L3" i="2" a="1"/>
  <c r="L3" i="2" s="1"/>
  <c r="M3" i="2" s="1"/>
  <c r="L73" i="2" a="1"/>
  <c r="L73" i="2" s="1"/>
  <c r="M73" i="2" s="1"/>
  <c r="P2" i="2"/>
  <c r="Q3" i="9" l="1"/>
  <c r="P3" i="9"/>
  <c r="N3" i="9"/>
  <c r="R3" i="9" l="1"/>
  <c r="S3" i="9" s="1"/>
  <c r="T3" i="9" l="1"/>
</calcChain>
</file>

<file path=xl/sharedStrings.xml><?xml version="1.0" encoding="utf-8"?>
<sst xmlns="http://schemas.openxmlformats.org/spreadsheetml/2006/main" count="1088" uniqueCount="160">
  <si>
    <t>Volkswagen tiguan</t>
  </si>
  <si>
    <t>Montréal</t>
  </si>
  <si>
    <t>Côte-St-Luc</t>
  </si>
  <si>
    <t>Brossard</t>
  </si>
  <si>
    <t>St-Bruno-de-Montarville</t>
  </si>
  <si>
    <t>Boucherville</t>
  </si>
  <si>
    <t>Ste-Julie</t>
  </si>
  <si>
    <t>Longueuil</t>
  </si>
  <si>
    <t>Dollard-des Ormeaux</t>
  </si>
  <si>
    <t>Laval</t>
  </si>
  <si>
    <t>Volkswagen tiguan united edition</t>
  </si>
  <si>
    <t>Volkswagen tiguan highline rline</t>
  </si>
  <si>
    <t>St-Constant</t>
  </si>
  <si>
    <t>St-Basile-le-Grand</t>
  </si>
  <si>
    <t>Volkswagen tiguan highline r-line</t>
  </si>
  <si>
    <t>Boisbriand</t>
  </si>
  <si>
    <t>Volkswagen touareg</t>
  </si>
  <si>
    <t>Volkswagen tiguan se 4motion with appearance (69$ par semaine)</t>
  </si>
  <si>
    <t>Terrebonne</t>
  </si>
  <si>
    <t>Price</t>
  </si>
  <si>
    <t>year</t>
  </si>
  <si>
    <t>Model</t>
  </si>
  <si>
    <t>City</t>
  </si>
  <si>
    <t>Mileage</t>
  </si>
  <si>
    <t>price/mileage</t>
  </si>
  <si>
    <t>Column1</t>
  </si>
  <si>
    <t>ID</t>
  </si>
  <si>
    <t>Date</t>
  </si>
  <si>
    <t>Westmount</t>
  </si>
  <si>
    <t>Dorval</t>
  </si>
  <si>
    <t>Mercier</t>
  </si>
  <si>
    <t>Age</t>
  </si>
  <si>
    <t>Price/age</t>
  </si>
  <si>
    <t>Hyundai tucson</t>
  </si>
  <si>
    <t>Hyundai tucson awd prefered</t>
  </si>
  <si>
    <t>La Prairie</t>
  </si>
  <si>
    <t>Blainville</t>
  </si>
  <si>
    <t>Hyundai luxury</t>
  </si>
  <si>
    <t>Candiac</t>
  </si>
  <si>
    <t>Hyundai tucson preferred awd</t>
  </si>
  <si>
    <t>Hyundai tucson ultimate hybrid</t>
  </si>
  <si>
    <t>Hyundai tucson GLS Sport Utility 4D</t>
  </si>
  <si>
    <t>Montréal-Est</t>
  </si>
  <si>
    <t>Hyundai tucson 2.0l awd cam Écran bluetooth a/c mags</t>
  </si>
  <si>
    <t>Hyundai tucson hybride</t>
  </si>
  <si>
    <t>Hyundai tucson 2.0 premium</t>
  </si>
  <si>
    <t>Hyundai tucson preferred trrend</t>
  </si>
  <si>
    <t>Hyundai tucson hev luxury awd</t>
  </si>
  <si>
    <t>normal price/real milage</t>
  </si>
  <si>
    <t>Column2</t>
  </si>
  <si>
    <t>Hyundai tucson awd 2023</t>
  </si>
  <si>
    <t>Mont-Royal</t>
  </si>
  <si>
    <t>Hyundai tucson fwd 2,0l</t>
  </si>
  <si>
    <t>Hyundai tucson awd preferred</t>
  </si>
  <si>
    <t>Hyundai santa fe sport</t>
  </si>
  <si>
    <t>Hyundai tucson hybrid luxury</t>
  </si>
  <si>
    <t>Hyundai tucson n line</t>
  </si>
  <si>
    <t>Hyundai tucson hybrid</t>
  </si>
  <si>
    <t>Hyundai Tucson Preferred AWD Cuir Toit Pano Carplay A/C Bluetooth</t>
  </si>
  <si>
    <t>Châteauguay</t>
  </si>
  <si>
    <t>Hyundai tucson nline</t>
  </si>
  <si>
    <t>Ste-Anne-de-Bellevue</t>
  </si>
  <si>
    <t>Hyundai tucson preferred</t>
  </si>
  <si>
    <t>Hyundai tucson hev</t>
  </si>
  <si>
    <t>Chambly</t>
  </si>
  <si>
    <t>St-Jean-sur-Richelieu</t>
  </si>
  <si>
    <t>Hyundai santa fe</t>
  </si>
  <si>
    <t>Pointe-Claire</t>
  </si>
  <si>
    <t>St-Lambert</t>
  </si>
  <si>
    <t>Hyundai santa fe sport premium</t>
  </si>
  <si>
    <t>McMasterville</t>
  </si>
  <si>
    <t>Hyundai santa fe luxury hybrid</t>
  </si>
  <si>
    <t>Vaudreuil-Dorion</t>
  </si>
  <si>
    <t>Hyundai santa fe sport fwd</t>
  </si>
  <si>
    <t>Hyundai santafe</t>
  </si>
  <si>
    <t>Hyundai elantra</t>
  </si>
  <si>
    <t>Hyundai santa fe sport premium awd</t>
  </si>
  <si>
    <t>Hyundai san ta fe</t>
  </si>
  <si>
    <t>Richelieu</t>
  </si>
  <si>
    <t>Mont-St-Grégoire</t>
  </si>
  <si>
    <t>Mirabel</t>
  </si>
  <si>
    <t>Hyundai santa fe limited</t>
  </si>
  <si>
    <t>HYUNDAI SANTA FE Luxury</t>
  </si>
  <si>
    <t>Montreal</t>
  </si>
  <si>
    <t>Honda cr-v</t>
  </si>
  <si>
    <t>Honda cr-v ex awd</t>
  </si>
  <si>
    <t>Ste-Thérèse</t>
  </si>
  <si>
    <t>Repentigny</t>
  </si>
  <si>
    <t>Honda odyssey</t>
  </si>
  <si>
    <t>Honda crv awd touring push start</t>
  </si>
  <si>
    <t>Honda civic</t>
  </si>
  <si>
    <t>Salaberry-de-Valleyfield</t>
  </si>
  <si>
    <t>Honda cr-v se awd</t>
  </si>
  <si>
    <t>Mascouche</t>
  </si>
  <si>
    <t>Honda cr-v lx</t>
  </si>
  <si>
    <t>Honda crv parts</t>
  </si>
  <si>
    <t>Honda cr-v sport</t>
  </si>
  <si>
    <t>Acura rdx</t>
  </si>
  <si>
    <t>Ste-Marthe-sur-le-Lac</t>
  </si>
  <si>
    <t>Honda cr-v ex awd cvt</t>
  </si>
  <si>
    <t>Honda cr-v EX-L</t>
  </si>
  <si>
    <t>Contrecoeur</t>
  </si>
  <si>
    <t>LÎle-Perrot'</t>
  </si>
  <si>
    <t>Mississauga, ON</t>
  </si>
  <si>
    <t>Markham, ON</t>
  </si>
  <si>
    <t>Notre-Dame-de-lÎle-Perrot'</t>
  </si>
  <si>
    <t>St-Jérôme</t>
  </si>
  <si>
    <t>Princeville</t>
  </si>
  <si>
    <t>Honda cr-v awd</t>
  </si>
  <si>
    <t>Toronto, ON</t>
  </si>
  <si>
    <t>Toyota rav4'</t>
  </si>
  <si>
    <t>'St-Jean-sur-Richelieu'</t>
  </si>
  <si>
    <t>'Laval'</t>
  </si>
  <si>
    <t>Toyota rav4 le awd'</t>
  </si>
  <si>
    <t>'Mascouche'</t>
  </si>
  <si>
    <t>'Châteauguay'</t>
  </si>
  <si>
    <t>'Montréal'</t>
  </si>
  <si>
    <t>'Candiac'</t>
  </si>
  <si>
    <t>'St-Bruno-de-Montarville'</t>
  </si>
  <si>
    <t>'St-Basile-le-Grand'</t>
  </si>
  <si>
    <t>'St-Constant'</t>
  </si>
  <si>
    <t>Toyota rav4 hybrid'</t>
  </si>
  <si>
    <t>Toyota rav4 le fwd'</t>
  </si>
  <si>
    <t>'L'Assomption'</t>
  </si>
  <si>
    <t>Toyota rav4 trail'</t>
  </si>
  <si>
    <t>'Blainville'</t>
  </si>
  <si>
    <t>Toyota rav4 LE'</t>
  </si>
  <si>
    <t>'Brossard'</t>
  </si>
  <si>
    <t>'Longueuil'</t>
  </si>
  <si>
    <t>Toyota rav4 automatique 4cylindres awd'</t>
  </si>
  <si>
    <t>'Mirabel'</t>
  </si>
  <si>
    <t>Toyota rav4 limited v4'</t>
  </si>
  <si>
    <t>Toyota parts rav4'</t>
  </si>
  <si>
    <t>'Montréal-Est'</t>
  </si>
  <si>
    <t>Toyota rav4 XLE'</t>
  </si>
  <si>
    <t>'St-Eustache'</t>
  </si>
  <si>
    <t>Toyota rav4 prime xse'</t>
  </si>
  <si>
    <t>Toyota rav4 --awd-toit-gps-cam-cuir--'</t>
  </si>
  <si>
    <t>'McMasterville'</t>
  </si>
  <si>
    <t>Toyota rav4 prime'</t>
  </si>
  <si>
    <t>Toyota rav4 le awd * camÉra * 8 pneus * dÉmarreur * carfax clean !'</t>
  </si>
  <si>
    <t>'Chambly'</t>
  </si>
  <si>
    <t>Toyota 2011 toyota 2011 toyota rav4 soprt/4cyl/4x4/mags/ac/cruise/full elec'</t>
  </si>
  <si>
    <t>'Terrebonne'</t>
  </si>
  <si>
    <t>'La Prairie'</t>
  </si>
  <si>
    <t>Toyota rav4 * 2.5l * hybride * xse * awd * cuir * toit ouvrant * camera * apple carplay *'</t>
  </si>
  <si>
    <t>Toyota rav4 xse'</t>
  </si>
  <si>
    <t>'Otterburn Park'</t>
  </si>
  <si>
    <t>'Pincourt'</t>
  </si>
  <si>
    <t>Toyota rav4 awd xle'</t>
  </si>
  <si>
    <t>Toyota rav4 automatique awd bancs chauffants air climatisÉ traction intégrale'</t>
  </si>
  <si>
    <t>Toyota rav4 xle'</t>
  </si>
  <si>
    <t>'Kirkland'</t>
  </si>
  <si>
    <t>Toyota rav4 hybride le'</t>
  </si>
  <si>
    <t>Honda civic'</t>
  </si>
  <si>
    <t>Toyota rav4 awd caméra'</t>
  </si>
  <si>
    <t>Toyota rav4 awd'</t>
  </si>
  <si>
    <t>Toyota rav4 2.5l awd/4x4...very clean/tre propr.'</t>
  </si>
  <si>
    <t>'Dorval'</t>
  </si>
  <si>
    <t>Age/mile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</si>
</sst>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0.000"/>
    <numFmt numFmtId="166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6" fontId="0" fillId="0" borderId="0" xfId="1" applyNumberFormat="1" applyFont="1"/>
  </cellXfs>
  <cellStyles count="2">
    <cellStyle name="Comma" xfId="1" builtinId="3"/>
    <cellStyle name="Normal" xfId="0" builtinId="0"/>
  </cellStyles>
  <dxfs count="49"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numFmt numFmtId="1" formatCode="0"/>
    </dxf>
    <dxf>
      <numFmt numFmtId="1" formatCode="0"/>
    </dxf>
    <dxf>
      <numFmt numFmtId="165" formatCode="0.000"/>
    </dxf>
    <dxf>
      <numFmt numFmtId="166" formatCode="_(* #,##0_);_(* \(#,##0\);_(* &quot;-&quot;??_);_(@_)"/>
    </dxf>
    <dxf>
      <numFmt numFmtId="19" formatCode="m/d/yy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numFmt numFmtId="1" formatCode="0"/>
    </dxf>
    <dxf>
      <numFmt numFmtId="165" formatCode="0.000"/>
    </dxf>
    <dxf>
      <numFmt numFmtId="166" formatCode="_(* #,##0_);_(* \(#,##0\);_(* &quot;-&quot;??_);_(@_)"/>
    </dxf>
    <dxf>
      <numFmt numFmtId="19" formatCode="m/d/yy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numFmt numFmtId="1" formatCode="0"/>
    </dxf>
    <dxf>
      <numFmt numFmtId="165" formatCode="0.000"/>
    </dxf>
    <dxf>
      <numFmt numFmtId="166" formatCode="_(* #,##0_);_(* \(#,##0\);_(* &quot;-&quot;??_);_(@_)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numFmt numFmtId="1" formatCode="0"/>
    </dxf>
    <dxf>
      <numFmt numFmtId="164" formatCode="0.000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numFmt numFmtId="1" formatCode="0"/>
    </dxf>
    <dxf>
      <numFmt numFmtId="164" formatCode="0.0000"/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'Volkswagen tiguan'!$H$1</c:f>
              <c:strCache>
                <c:ptCount val="1"/>
                <c:pt idx="0">
                  <c:v>price/mileage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2324878362536698"/>
                  <c:y val="-3.9161198600174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'Volkswagen tiguan'!$G$2:$G$100</c:f>
              <c:numCache>
                <c:formatCode>General</c:formatCode>
                <c:ptCount val="99"/>
                <c:pt idx="0">
                  <c:v>155000</c:v>
                </c:pt>
                <c:pt idx="1">
                  <c:v>136000</c:v>
                </c:pt>
                <c:pt idx="2">
                  <c:v>180000</c:v>
                </c:pt>
                <c:pt idx="3">
                  <c:v>175000</c:v>
                </c:pt>
                <c:pt idx="4">
                  <c:v>140000</c:v>
                </c:pt>
                <c:pt idx="5">
                  <c:v>96000</c:v>
                </c:pt>
                <c:pt idx="6">
                  <c:v>165000</c:v>
                </c:pt>
                <c:pt idx="7">
                  <c:v>70000</c:v>
                </c:pt>
                <c:pt idx="8">
                  <c:v>112000</c:v>
                </c:pt>
                <c:pt idx="9">
                  <c:v>112000</c:v>
                </c:pt>
                <c:pt idx="10">
                  <c:v>203000</c:v>
                </c:pt>
                <c:pt idx="11">
                  <c:v>111000</c:v>
                </c:pt>
                <c:pt idx="12">
                  <c:v>211000</c:v>
                </c:pt>
                <c:pt idx="13">
                  <c:v>180000</c:v>
                </c:pt>
                <c:pt idx="14">
                  <c:v>146000</c:v>
                </c:pt>
                <c:pt idx="15">
                  <c:v>92000</c:v>
                </c:pt>
                <c:pt idx="16">
                  <c:v>90000</c:v>
                </c:pt>
                <c:pt idx="17">
                  <c:v>164000</c:v>
                </c:pt>
                <c:pt idx="18">
                  <c:v>214000</c:v>
                </c:pt>
                <c:pt idx="19">
                  <c:v>205000</c:v>
                </c:pt>
                <c:pt idx="20">
                  <c:v>103000</c:v>
                </c:pt>
                <c:pt idx="21">
                  <c:v>103000</c:v>
                </c:pt>
                <c:pt idx="22">
                  <c:v>113000</c:v>
                </c:pt>
                <c:pt idx="23">
                  <c:v>185000</c:v>
                </c:pt>
                <c:pt idx="24">
                  <c:v>114000</c:v>
                </c:pt>
                <c:pt idx="25">
                  <c:v>143000</c:v>
                </c:pt>
                <c:pt idx="26">
                  <c:v>148000</c:v>
                </c:pt>
                <c:pt idx="27">
                  <c:v>144000</c:v>
                </c:pt>
                <c:pt idx="28">
                  <c:v>175000</c:v>
                </c:pt>
                <c:pt idx="29">
                  <c:v>118000</c:v>
                </c:pt>
                <c:pt idx="30">
                  <c:v>152000</c:v>
                </c:pt>
                <c:pt idx="31">
                  <c:v>134000</c:v>
                </c:pt>
                <c:pt idx="32">
                  <c:v>137000</c:v>
                </c:pt>
                <c:pt idx="33">
                  <c:v>217000</c:v>
                </c:pt>
                <c:pt idx="34">
                  <c:v>212000</c:v>
                </c:pt>
                <c:pt idx="35">
                  <c:v>155000</c:v>
                </c:pt>
                <c:pt idx="36">
                  <c:v>148000</c:v>
                </c:pt>
                <c:pt idx="37">
                  <c:v>58000</c:v>
                </c:pt>
                <c:pt idx="38">
                  <c:v>60000</c:v>
                </c:pt>
                <c:pt idx="39">
                  <c:v>82000</c:v>
                </c:pt>
                <c:pt idx="40">
                  <c:v>63000</c:v>
                </c:pt>
                <c:pt idx="41">
                  <c:v>57000</c:v>
                </c:pt>
                <c:pt idx="42">
                  <c:v>41000</c:v>
                </c:pt>
                <c:pt idx="43">
                  <c:v>134000</c:v>
                </c:pt>
                <c:pt idx="44">
                  <c:v>52000</c:v>
                </c:pt>
                <c:pt idx="45">
                  <c:v>101000</c:v>
                </c:pt>
                <c:pt idx="46">
                  <c:v>115000</c:v>
                </c:pt>
                <c:pt idx="47">
                  <c:v>129000</c:v>
                </c:pt>
                <c:pt idx="48">
                  <c:v>169000</c:v>
                </c:pt>
                <c:pt idx="49">
                  <c:v>28000</c:v>
                </c:pt>
                <c:pt idx="50">
                  <c:v>43000</c:v>
                </c:pt>
                <c:pt idx="51">
                  <c:v>103000</c:v>
                </c:pt>
                <c:pt idx="52">
                  <c:v>89000</c:v>
                </c:pt>
                <c:pt idx="53">
                  <c:v>41000</c:v>
                </c:pt>
                <c:pt idx="54">
                  <c:v>34000</c:v>
                </c:pt>
                <c:pt idx="55">
                  <c:v>56000</c:v>
                </c:pt>
                <c:pt idx="56">
                  <c:v>34000</c:v>
                </c:pt>
                <c:pt idx="57">
                  <c:v>75000</c:v>
                </c:pt>
                <c:pt idx="58">
                  <c:v>71000</c:v>
                </c:pt>
                <c:pt idx="59">
                  <c:v>23000</c:v>
                </c:pt>
                <c:pt idx="60">
                  <c:v>24000</c:v>
                </c:pt>
                <c:pt idx="61">
                  <c:v>120000</c:v>
                </c:pt>
                <c:pt idx="62">
                  <c:v>44000</c:v>
                </c:pt>
                <c:pt idx="63">
                  <c:v>34000</c:v>
                </c:pt>
                <c:pt idx="64">
                  <c:v>91000</c:v>
                </c:pt>
                <c:pt idx="65">
                  <c:v>79000</c:v>
                </c:pt>
                <c:pt idx="66">
                  <c:v>37000</c:v>
                </c:pt>
                <c:pt idx="67">
                  <c:v>38000</c:v>
                </c:pt>
                <c:pt idx="68">
                  <c:v>51000</c:v>
                </c:pt>
                <c:pt idx="69">
                  <c:v>33000</c:v>
                </c:pt>
                <c:pt idx="70">
                  <c:v>99000</c:v>
                </c:pt>
                <c:pt idx="71">
                  <c:v>110000</c:v>
                </c:pt>
                <c:pt idx="72">
                  <c:v>49000</c:v>
                </c:pt>
                <c:pt idx="73">
                  <c:v>32000</c:v>
                </c:pt>
                <c:pt idx="74">
                  <c:v>80000</c:v>
                </c:pt>
                <c:pt idx="75">
                  <c:v>127000</c:v>
                </c:pt>
                <c:pt idx="76">
                  <c:v>99000</c:v>
                </c:pt>
                <c:pt idx="77">
                  <c:v>93000</c:v>
                </c:pt>
                <c:pt idx="78">
                  <c:v>98000</c:v>
                </c:pt>
                <c:pt idx="79">
                  <c:v>122000</c:v>
                </c:pt>
                <c:pt idx="80">
                  <c:v>85000</c:v>
                </c:pt>
                <c:pt idx="81">
                  <c:v>86000</c:v>
                </c:pt>
                <c:pt idx="82">
                  <c:v>43000</c:v>
                </c:pt>
                <c:pt idx="83">
                  <c:v>73000</c:v>
                </c:pt>
                <c:pt idx="84">
                  <c:v>186000</c:v>
                </c:pt>
                <c:pt idx="85">
                  <c:v>45000</c:v>
                </c:pt>
                <c:pt idx="86">
                  <c:v>100000</c:v>
                </c:pt>
                <c:pt idx="87">
                  <c:v>55000</c:v>
                </c:pt>
                <c:pt idx="88">
                  <c:v>93000</c:v>
                </c:pt>
                <c:pt idx="89">
                  <c:v>225000</c:v>
                </c:pt>
                <c:pt idx="90">
                  <c:v>94000</c:v>
                </c:pt>
                <c:pt idx="91">
                  <c:v>57000</c:v>
                </c:pt>
                <c:pt idx="92">
                  <c:v>175000</c:v>
                </c:pt>
                <c:pt idx="93">
                  <c:v>297000</c:v>
                </c:pt>
                <c:pt idx="94">
                  <c:v>130000</c:v>
                </c:pt>
                <c:pt idx="95">
                  <c:v>136000</c:v>
                </c:pt>
                <c:pt idx="96">
                  <c:v>194000</c:v>
                </c:pt>
                <c:pt idx="97">
                  <c:v>76000</c:v>
                </c:pt>
                <c:pt idx="98">
                  <c:v>169000</c:v>
                </c:pt>
              </c:numCache>
            </c:numRef>
          </c:xVal>
          <c:yVal>
            <c:numRef>
              <c:f>'Volkswagen tiguan'!$C$2:$C$100</c:f>
              <c:numCache>
                <c:formatCode>_(* #,##0_);_(* \(#,##0\);_(* "-"??_);_(@_)</c:formatCode>
                <c:ptCount val="99"/>
                <c:pt idx="0">
                  <c:v>5999</c:v>
                </c:pt>
                <c:pt idx="1">
                  <c:v>7900</c:v>
                </c:pt>
                <c:pt idx="2">
                  <c:v>7000</c:v>
                </c:pt>
                <c:pt idx="3">
                  <c:v>6800</c:v>
                </c:pt>
                <c:pt idx="4">
                  <c:v>9500</c:v>
                </c:pt>
                <c:pt idx="5">
                  <c:v>9999</c:v>
                </c:pt>
                <c:pt idx="6">
                  <c:v>8495</c:v>
                </c:pt>
                <c:pt idx="7">
                  <c:v>14000</c:v>
                </c:pt>
                <c:pt idx="8">
                  <c:v>11990</c:v>
                </c:pt>
                <c:pt idx="9">
                  <c:v>11995</c:v>
                </c:pt>
                <c:pt idx="10">
                  <c:v>8500</c:v>
                </c:pt>
                <c:pt idx="11">
                  <c:v>13000</c:v>
                </c:pt>
                <c:pt idx="12">
                  <c:v>7999</c:v>
                </c:pt>
                <c:pt idx="13">
                  <c:v>8495</c:v>
                </c:pt>
                <c:pt idx="14">
                  <c:v>12200</c:v>
                </c:pt>
                <c:pt idx="15">
                  <c:v>15991</c:v>
                </c:pt>
                <c:pt idx="16">
                  <c:v>16000</c:v>
                </c:pt>
                <c:pt idx="17">
                  <c:v>9888</c:v>
                </c:pt>
                <c:pt idx="18">
                  <c:v>8499</c:v>
                </c:pt>
                <c:pt idx="19">
                  <c:v>7950</c:v>
                </c:pt>
                <c:pt idx="20">
                  <c:v>12800</c:v>
                </c:pt>
                <c:pt idx="21">
                  <c:v>13200</c:v>
                </c:pt>
                <c:pt idx="22">
                  <c:v>13995</c:v>
                </c:pt>
                <c:pt idx="23">
                  <c:v>9999</c:v>
                </c:pt>
                <c:pt idx="24">
                  <c:v>16931</c:v>
                </c:pt>
                <c:pt idx="25">
                  <c:v>12450</c:v>
                </c:pt>
                <c:pt idx="26">
                  <c:v>14000</c:v>
                </c:pt>
                <c:pt idx="27">
                  <c:v>13950</c:v>
                </c:pt>
                <c:pt idx="28">
                  <c:v>12900</c:v>
                </c:pt>
                <c:pt idx="29">
                  <c:v>17950</c:v>
                </c:pt>
                <c:pt idx="30">
                  <c:v>14895</c:v>
                </c:pt>
                <c:pt idx="31">
                  <c:v>14950</c:v>
                </c:pt>
                <c:pt idx="32">
                  <c:v>13990</c:v>
                </c:pt>
                <c:pt idx="33">
                  <c:v>8950</c:v>
                </c:pt>
                <c:pt idx="34">
                  <c:v>9995</c:v>
                </c:pt>
                <c:pt idx="35">
                  <c:v>11500</c:v>
                </c:pt>
                <c:pt idx="36">
                  <c:v>14500</c:v>
                </c:pt>
                <c:pt idx="37">
                  <c:v>24491</c:v>
                </c:pt>
                <c:pt idx="38">
                  <c:v>24991</c:v>
                </c:pt>
                <c:pt idx="39">
                  <c:v>22995</c:v>
                </c:pt>
                <c:pt idx="40">
                  <c:v>28383</c:v>
                </c:pt>
                <c:pt idx="41">
                  <c:v>28390</c:v>
                </c:pt>
                <c:pt idx="42">
                  <c:v>28480</c:v>
                </c:pt>
                <c:pt idx="43">
                  <c:v>16999</c:v>
                </c:pt>
                <c:pt idx="44">
                  <c:v>25995</c:v>
                </c:pt>
                <c:pt idx="45">
                  <c:v>21995</c:v>
                </c:pt>
                <c:pt idx="46">
                  <c:v>19900</c:v>
                </c:pt>
                <c:pt idx="47">
                  <c:v>17990</c:v>
                </c:pt>
                <c:pt idx="48">
                  <c:v>14555</c:v>
                </c:pt>
                <c:pt idx="49">
                  <c:v>30596</c:v>
                </c:pt>
                <c:pt idx="50">
                  <c:v>27988</c:v>
                </c:pt>
                <c:pt idx="51">
                  <c:v>22990</c:v>
                </c:pt>
                <c:pt idx="52">
                  <c:v>22995</c:v>
                </c:pt>
                <c:pt idx="53">
                  <c:v>28555</c:v>
                </c:pt>
                <c:pt idx="54">
                  <c:v>32495</c:v>
                </c:pt>
                <c:pt idx="55">
                  <c:v>26495</c:v>
                </c:pt>
                <c:pt idx="56">
                  <c:v>32995</c:v>
                </c:pt>
                <c:pt idx="57">
                  <c:v>26999</c:v>
                </c:pt>
                <c:pt idx="58">
                  <c:v>27500</c:v>
                </c:pt>
                <c:pt idx="59">
                  <c:v>33995</c:v>
                </c:pt>
                <c:pt idx="60">
                  <c:v>33995</c:v>
                </c:pt>
                <c:pt idx="61">
                  <c:v>22444</c:v>
                </c:pt>
                <c:pt idx="62">
                  <c:v>28650</c:v>
                </c:pt>
                <c:pt idx="63">
                  <c:v>31722</c:v>
                </c:pt>
                <c:pt idx="64">
                  <c:v>25494</c:v>
                </c:pt>
                <c:pt idx="65">
                  <c:v>26000</c:v>
                </c:pt>
                <c:pt idx="66">
                  <c:v>29695</c:v>
                </c:pt>
                <c:pt idx="67">
                  <c:v>32995</c:v>
                </c:pt>
                <c:pt idx="68">
                  <c:v>30500</c:v>
                </c:pt>
                <c:pt idx="69">
                  <c:v>33797</c:v>
                </c:pt>
                <c:pt idx="70" formatCode="General">
                  <c:v>24995</c:v>
                </c:pt>
                <c:pt idx="71" formatCode="General">
                  <c:v>25000</c:v>
                </c:pt>
                <c:pt idx="72" formatCode="General">
                  <c:v>31491</c:v>
                </c:pt>
                <c:pt idx="73" formatCode="General">
                  <c:v>34990</c:v>
                </c:pt>
                <c:pt idx="74" formatCode="General">
                  <c:v>28500</c:v>
                </c:pt>
                <c:pt idx="75" formatCode="General">
                  <c:v>20999</c:v>
                </c:pt>
                <c:pt idx="76" formatCode="General">
                  <c:v>25995</c:v>
                </c:pt>
                <c:pt idx="77" formatCode="General">
                  <c:v>26000</c:v>
                </c:pt>
                <c:pt idx="78" formatCode="General">
                  <c:v>26999</c:v>
                </c:pt>
                <c:pt idx="79" formatCode="General">
                  <c:v>26272</c:v>
                </c:pt>
                <c:pt idx="80" formatCode="General">
                  <c:v>27495</c:v>
                </c:pt>
                <c:pt idx="81" formatCode="General">
                  <c:v>27495</c:v>
                </c:pt>
                <c:pt idx="82" formatCode="General">
                  <c:v>36988</c:v>
                </c:pt>
                <c:pt idx="83" formatCode="General">
                  <c:v>28100</c:v>
                </c:pt>
                <c:pt idx="84" formatCode="General">
                  <c:v>17995</c:v>
                </c:pt>
                <c:pt idx="85" formatCode="General">
                  <c:v>33500</c:v>
                </c:pt>
                <c:pt idx="86" formatCode="General">
                  <c:v>27500</c:v>
                </c:pt>
                <c:pt idx="87" formatCode="General">
                  <c:v>34995</c:v>
                </c:pt>
                <c:pt idx="88" formatCode="General">
                  <c:v>28497</c:v>
                </c:pt>
                <c:pt idx="89" formatCode="General">
                  <c:v>11999</c:v>
                </c:pt>
                <c:pt idx="90" formatCode="General">
                  <c:v>28985</c:v>
                </c:pt>
                <c:pt idx="91" formatCode="General">
                  <c:v>35500</c:v>
                </c:pt>
                <c:pt idx="92" formatCode="General">
                  <c:v>19300</c:v>
                </c:pt>
                <c:pt idx="93" formatCode="General">
                  <c:v>8999</c:v>
                </c:pt>
                <c:pt idx="94" formatCode="General">
                  <c:v>8000</c:v>
                </c:pt>
                <c:pt idx="95" formatCode="General">
                  <c:v>6900</c:v>
                </c:pt>
                <c:pt idx="96" formatCode="General">
                  <c:v>6700</c:v>
                </c:pt>
                <c:pt idx="97" formatCode="General">
                  <c:v>17593</c:v>
                </c:pt>
                <c:pt idx="98" formatCode="General">
                  <c:v>16500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04-4E8F-99C5-A577FECE9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42608"/>
        <c:axId val="433142968"/>
      </c:scatterChart>
      <c:scatterChart>
        <c:scatterStyle val="lineMarker"/>
        <c:varyColors val="0"/>
        <c:ser>
          <c:idx val="0"/>
          <c:order val="0"/>
          <c:tx>
            <c:strRef>
              <c:f>'Volkswagen tiguan'!$I$1</c:f>
              <c:strCache>
                <c:ptCount val="1"/>
                <c:pt idx="0">
                  <c:v>Price/age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83392984967789"/>
                  <c:y val="2.81007582385535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'Volkswagen tiguan'!$G$2:$G$100</c:f>
              <c:numCache>
                <c:formatCode>General</c:formatCode>
                <c:ptCount val="99"/>
                <c:pt idx="0">
                  <c:v>155000</c:v>
                </c:pt>
                <c:pt idx="1">
                  <c:v>136000</c:v>
                </c:pt>
                <c:pt idx="2">
                  <c:v>180000</c:v>
                </c:pt>
                <c:pt idx="3">
                  <c:v>175000</c:v>
                </c:pt>
                <c:pt idx="4">
                  <c:v>140000</c:v>
                </c:pt>
                <c:pt idx="5">
                  <c:v>96000</c:v>
                </c:pt>
                <c:pt idx="6">
                  <c:v>165000</c:v>
                </c:pt>
                <c:pt idx="7">
                  <c:v>70000</c:v>
                </c:pt>
                <c:pt idx="8">
                  <c:v>112000</c:v>
                </c:pt>
                <c:pt idx="9">
                  <c:v>112000</c:v>
                </c:pt>
                <c:pt idx="10">
                  <c:v>203000</c:v>
                </c:pt>
                <c:pt idx="11">
                  <c:v>111000</c:v>
                </c:pt>
                <c:pt idx="12">
                  <c:v>211000</c:v>
                </c:pt>
                <c:pt idx="13">
                  <c:v>180000</c:v>
                </c:pt>
                <c:pt idx="14">
                  <c:v>146000</c:v>
                </c:pt>
                <c:pt idx="15">
                  <c:v>92000</c:v>
                </c:pt>
                <c:pt idx="16">
                  <c:v>90000</c:v>
                </c:pt>
                <c:pt idx="17">
                  <c:v>164000</c:v>
                </c:pt>
                <c:pt idx="18">
                  <c:v>214000</c:v>
                </c:pt>
                <c:pt idx="19">
                  <c:v>205000</c:v>
                </c:pt>
                <c:pt idx="20">
                  <c:v>103000</c:v>
                </c:pt>
                <c:pt idx="21">
                  <c:v>103000</c:v>
                </c:pt>
                <c:pt idx="22">
                  <c:v>113000</c:v>
                </c:pt>
                <c:pt idx="23">
                  <c:v>185000</c:v>
                </c:pt>
                <c:pt idx="24">
                  <c:v>114000</c:v>
                </c:pt>
                <c:pt idx="25">
                  <c:v>143000</c:v>
                </c:pt>
                <c:pt idx="26">
                  <c:v>148000</c:v>
                </c:pt>
                <c:pt idx="27">
                  <c:v>144000</c:v>
                </c:pt>
                <c:pt idx="28">
                  <c:v>175000</c:v>
                </c:pt>
                <c:pt idx="29">
                  <c:v>118000</c:v>
                </c:pt>
                <c:pt idx="30">
                  <c:v>152000</c:v>
                </c:pt>
                <c:pt idx="31">
                  <c:v>134000</c:v>
                </c:pt>
                <c:pt idx="32">
                  <c:v>137000</c:v>
                </c:pt>
                <c:pt idx="33">
                  <c:v>217000</c:v>
                </c:pt>
                <c:pt idx="34">
                  <c:v>212000</c:v>
                </c:pt>
                <c:pt idx="35">
                  <c:v>155000</c:v>
                </c:pt>
                <c:pt idx="36">
                  <c:v>148000</c:v>
                </c:pt>
                <c:pt idx="37">
                  <c:v>58000</c:v>
                </c:pt>
                <c:pt idx="38">
                  <c:v>60000</c:v>
                </c:pt>
                <c:pt idx="39">
                  <c:v>82000</c:v>
                </c:pt>
                <c:pt idx="40">
                  <c:v>63000</c:v>
                </c:pt>
                <c:pt idx="41">
                  <c:v>57000</c:v>
                </c:pt>
                <c:pt idx="42">
                  <c:v>41000</c:v>
                </c:pt>
                <c:pt idx="43">
                  <c:v>134000</c:v>
                </c:pt>
                <c:pt idx="44">
                  <c:v>52000</c:v>
                </c:pt>
                <c:pt idx="45">
                  <c:v>101000</c:v>
                </c:pt>
                <c:pt idx="46">
                  <c:v>115000</c:v>
                </c:pt>
                <c:pt idx="47">
                  <c:v>129000</c:v>
                </c:pt>
                <c:pt idx="48">
                  <c:v>169000</c:v>
                </c:pt>
                <c:pt idx="49">
                  <c:v>28000</c:v>
                </c:pt>
                <c:pt idx="50">
                  <c:v>43000</c:v>
                </c:pt>
                <c:pt idx="51">
                  <c:v>103000</c:v>
                </c:pt>
                <c:pt idx="52">
                  <c:v>89000</c:v>
                </c:pt>
                <c:pt idx="53">
                  <c:v>41000</c:v>
                </c:pt>
                <c:pt idx="54">
                  <c:v>34000</c:v>
                </c:pt>
                <c:pt idx="55">
                  <c:v>56000</c:v>
                </c:pt>
                <c:pt idx="56">
                  <c:v>34000</c:v>
                </c:pt>
                <c:pt idx="57">
                  <c:v>75000</c:v>
                </c:pt>
                <c:pt idx="58">
                  <c:v>71000</c:v>
                </c:pt>
                <c:pt idx="59">
                  <c:v>23000</c:v>
                </c:pt>
                <c:pt idx="60">
                  <c:v>24000</c:v>
                </c:pt>
                <c:pt idx="61">
                  <c:v>120000</c:v>
                </c:pt>
                <c:pt idx="62">
                  <c:v>44000</c:v>
                </c:pt>
                <c:pt idx="63">
                  <c:v>34000</c:v>
                </c:pt>
                <c:pt idx="64">
                  <c:v>91000</c:v>
                </c:pt>
                <c:pt idx="65">
                  <c:v>79000</c:v>
                </c:pt>
                <c:pt idx="66">
                  <c:v>37000</c:v>
                </c:pt>
                <c:pt idx="67">
                  <c:v>38000</c:v>
                </c:pt>
                <c:pt idx="68">
                  <c:v>51000</c:v>
                </c:pt>
                <c:pt idx="69">
                  <c:v>33000</c:v>
                </c:pt>
                <c:pt idx="70">
                  <c:v>99000</c:v>
                </c:pt>
                <c:pt idx="71">
                  <c:v>110000</c:v>
                </c:pt>
                <c:pt idx="72">
                  <c:v>49000</c:v>
                </c:pt>
                <c:pt idx="73">
                  <c:v>32000</c:v>
                </c:pt>
                <c:pt idx="74">
                  <c:v>80000</c:v>
                </c:pt>
                <c:pt idx="75">
                  <c:v>127000</c:v>
                </c:pt>
                <c:pt idx="76">
                  <c:v>99000</c:v>
                </c:pt>
                <c:pt idx="77">
                  <c:v>93000</c:v>
                </c:pt>
                <c:pt idx="78">
                  <c:v>98000</c:v>
                </c:pt>
                <c:pt idx="79">
                  <c:v>122000</c:v>
                </c:pt>
                <c:pt idx="80">
                  <c:v>85000</c:v>
                </c:pt>
                <c:pt idx="81">
                  <c:v>86000</c:v>
                </c:pt>
                <c:pt idx="82">
                  <c:v>43000</c:v>
                </c:pt>
                <c:pt idx="83">
                  <c:v>73000</c:v>
                </c:pt>
                <c:pt idx="84">
                  <c:v>186000</c:v>
                </c:pt>
                <c:pt idx="85">
                  <c:v>45000</c:v>
                </c:pt>
                <c:pt idx="86">
                  <c:v>100000</c:v>
                </c:pt>
                <c:pt idx="87">
                  <c:v>55000</c:v>
                </c:pt>
                <c:pt idx="88">
                  <c:v>93000</c:v>
                </c:pt>
                <c:pt idx="89">
                  <c:v>225000</c:v>
                </c:pt>
                <c:pt idx="90">
                  <c:v>94000</c:v>
                </c:pt>
                <c:pt idx="91">
                  <c:v>57000</c:v>
                </c:pt>
                <c:pt idx="92">
                  <c:v>175000</c:v>
                </c:pt>
                <c:pt idx="93">
                  <c:v>297000</c:v>
                </c:pt>
                <c:pt idx="94">
                  <c:v>130000</c:v>
                </c:pt>
                <c:pt idx="95">
                  <c:v>136000</c:v>
                </c:pt>
                <c:pt idx="96">
                  <c:v>194000</c:v>
                </c:pt>
                <c:pt idx="97">
                  <c:v>76000</c:v>
                </c:pt>
                <c:pt idx="98">
                  <c:v>169000</c:v>
                </c:pt>
              </c:numCache>
            </c:numRef>
          </c:xVal>
          <c:yVal>
            <c:numRef>
              <c:f>'Volkswagen tiguan'!$J$2:$J$100</c:f>
              <c:numCache>
                <c:formatCode>General</c:formatCode>
                <c:ptCount val="99"/>
                <c:pt idx="0">
                  <c:v>11</c:v>
                </c:pt>
                <c:pt idx="1">
                  <c:v>11</c:v>
                </c:pt>
                <c:pt idx="2">
                  <c:v>10</c:v>
                </c:pt>
                <c:pt idx="3">
                  <c:v>12</c:v>
                </c:pt>
                <c:pt idx="4">
                  <c:v>9</c:v>
                </c:pt>
                <c:pt idx="5">
                  <c:v>13</c:v>
                </c:pt>
                <c:pt idx="6">
                  <c:v>12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12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11</c:v>
                </c:pt>
                <c:pt idx="18">
                  <c:v>8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10</c:v>
                </c:pt>
                <c:pt idx="24">
                  <c:v>6</c:v>
                </c:pt>
                <c:pt idx="25">
                  <c:v>10</c:v>
                </c:pt>
                <c:pt idx="26">
                  <c:v>8</c:v>
                </c:pt>
                <c:pt idx="27">
                  <c:v>9</c:v>
                </c:pt>
                <c:pt idx="28">
                  <c:v>8</c:v>
                </c:pt>
                <c:pt idx="29">
                  <c:v>6</c:v>
                </c:pt>
                <c:pt idx="30">
                  <c:v>7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13</c:v>
                </c:pt>
                <c:pt idx="36">
                  <c:v>9</c:v>
                </c:pt>
                <c:pt idx="37">
                  <c:v>4</c:v>
                </c:pt>
                <c:pt idx="38">
                  <c:v>4</c:v>
                </c:pt>
                <c:pt idx="39">
                  <c:v>5</c:v>
                </c:pt>
                <c:pt idx="40">
                  <c:v>2</c:v>
                </c:pt>
                <c:pt idx="41">
                  <c:v>2</c:v>
                </c:pt>
                <c:pt idx="42">
                  <c:v>3</c:v>
                </c:pt>
                <c:pt idx="43">
                  <c:v>8</c:v>
                </c:pt>
                <c:pt idx="44">
                  <c:v>4</c:v>
                </c:pt>
                <c:pt idx="45">
                  <c:v>5</c:v>
                </c:pt>
                <c:pt idx="46">
                  <c:v>6</c:v>
                </c:pt>
                <c:pt idx="47">
                  <c:v>7</c:v>
                </c:pt>
                <c:pt idx="48">
                  <c:v>8</c:v>
                </c:pt>
                <c:pt idx="49">
                  <c:v>3</c:v>
                </c:pt>
                <c:pt idx="50">
                  <c:v>4</c:v>
                </c:pt>
                <c:pt idx="51">
                  <c:v>5</c:v>
                </c:pt>
                <c:pt idx="52">
                  <c:v>5</c:v>
                </c:pt>
                <c:pt idx="53">
                  <c:v>4</c:v>
                </c:pt>
                <c:pt idx="54">
                  <c:v>2</c:v>
                </c:pt>
                <c:pt idx="55">
                  <c:v>5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5</c:v>
                </c:pt>
                <c:pt idx="62">
                  <c:v>5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4</c:v>
                </c:pt>
                <c:pt idx="67">
                  <c:v>2</c:v>
                </c:pt>
                <c:pt idx="68">
                  <c:v>4</c:v>
                </c:pt>
                <c:pt idx="69">
                  <c:v>2</c:v>
                </c:pt>
                <c:pt idx="70">
                  <c:v>5</c:v>
                </c:pt>
                <c:pt idx="71">
                  <c:v>5</c:v>
                </c:pt>
                <c:pt idx="72">
                  <c:v>3</c:v>
                </c:pt>
                <c:pt idx="73">
                  <c:v>2</c:v>
                </c:pt>
                <c:pt idx="74">
                  <c:v>4</c:v>
                </c:pt>
                <c:pt idx="75">
                  <c:v>7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5</c:v>
                </c:pt>
                <c:pt idx="81">
                  <c:v>5</c:v>
                </c:pt>
                <c:pt idx="82">
                  <c:v>1</c:v>
                </c:pt>
                <c:pt idx="83">
                  <c:v>5</c:v>
                </c:pt>
                <c:pt idx="84">
                  <c:v>5</c:v>
                </c:pt>
                <c:pt idx="85">
                  <c:v>4</c:v>
                </c:pt>
                <c:pt idx="86">
                  <c:v>5</c:v>
                </c:pt>
                <c:pt idx="87">
                  <c:v>3</c:v>
                </c:pt>
                <c:pt idx="88">
                  <c:v>5</c:v>
                </c:pt>
                <c:pt idx="89">
                  <c:v>8</c:v>
                </c:pt>
                <c:pt idx="90">
                  <c:v>5</c:v>
                </c:pt>
                <c:pt idx="91">
                  <c:v>4</c:v>
                </c:pt>
                <c:pt idx="92">
                  <c:v>11</c:v>
                </c:pt>
                <c:pt idx="93">
                  <c:v>9</c:v>
                </c:pt>
                <c:pt idx="94">
                  <c:v>8</c:v>
                </c:pt>
                <c:pt idx="95">
                  <c:v>11</c:v>
                </c:pt>
                <c:pt idx="96">
                  <c:v>14</c:v>
                </c:pt>
                <c:pt idx="97">
                  <c:v>8</c:v>
                </c:pt>
                <c:pt idx="98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04-4E8F-99C5-A577FECE9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1608"/>
        <c:axId val="433154848"/>
      </c:scatterChart>
      <c:valAx>
        <c:axId val="4331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968"/>
        <c:crosses val="autoZero"/>
        <c:crossBetween val="midCat"/>
      </c:valAx>
      <c:valAx>
        <c:axId val="43314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608"/>
        <c:crosses val="autoZero"/>
        <c:crossBetween val="midCat"/>
      </c:valAx>
      <c:valAx>
        <c:axId val="43315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1608"/>
        <c:crosses val="max"/>
        <c:crossBetween val="midCat"/>
      </c:valAx>
      <c:valAx>
        <c:axId val="4331516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484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'Volkswagen tiguan'!$G$1</c:f>
              <c:strCache>
                <c:ptCount val="1"/>
                <c:pt idx="0">
                  <c:v>Mileage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0.44996172353455816"/>
                  <c:y val="-0.1674030329542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'Volkswagen tiguan'!$J$2:$J$100</c:f>
              <c:numCache>
                <c:formatCode>General</c:formatCode>
                <c:ptCount val="99"/>
                <c:pt idx="0">
                  <c:v>11</c:v>
                </c:pt>
                <c:pt idx="1">
                  <c:v>11</c:v>
                </c:pt>
                <c:pt idx="2">
                  <c:v>10</c:v>
                </c:pt>
                <c:pt idx="3">
                  <c:v>12</c:v>
                </c:pt>
                <c:pt idx="4">
                  <c:v>9</c:v>
                </c:pt>
                <c:pt idx="5">
                  <c:v>13</c:v>
                </c:pt>
                <c:pt idx="6">
                  <c:v>12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12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11</c:v>
                </c:pt>
                <c:pt idx="18">
                  <c:v>8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10</c:v>
                </c:pt>
                <c:pt idx="24">
                  <c:v>6</c:v>
                </c:pt>
                <c:pt idx="25">
                  <c:v>10</c:v>
                </c:pt>
                <c:pt idx="26">
                  <c:v>8</c:v>
                </c:pt>
                <c:pt idx="27">
                  <c:v>9</c:v>
                </c:pt>
                <c:pt idx="28">
                  <c:v>8</c:v>
                </c:pt>
                <c:pt idx="29">
                  <c:v>6</c:v>
                </c:pt>
                <c:pt idx="30">
                  <c:v>7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13</c:v>
                </c:pt>
                <c:pt idx="36">
                  <c:v>9</c:v>
                </c:pt>
                <c:pt idx="37">
                  <c:v>4</c:v>
                </c:pt>
                <c:pt idx="38">
                  <c:v>4</c:v>
                </c:pt>
                <c:pt idx="39">
                  <c:v>5</c:v>
                </c:pt>
                <c:pt idx="40">
                  <c:v>2</c:v>
                </c:pt>
                <c:pt idx="41">
                  <c:v>2</c:v>
                </c:pt>
                <c:pt idx="42">
                  <c:v>3</c:v>
                </c:pt>
                <c:pt idx="43">
                  <c:v>8</c:v>
                </c:pt>
                <c:pt idx="44">
                  <c:v>4</c:v>
                </c:pt>
                <c:pt idx="45">
                  <c:v>5</c:v>
                </c:pt>
                <c:pt idx="46">
                  <c:v>6</c:v>
                </c:pt>
                <c:pt idx="47">
                  <c:v>7</c:v>
                </c:pt>
                <c:pt idx="48">
                  <c:v>8</c:v>
                </c:pt>
                <c:pt idx="49">
                  <c:v>3</c:v>
                </c:pt>
                <c:pt idx="50">
                  <c:v>4</c:v>
                </c:pt>
                <c:pt idx="51">
                  <c:v>5</c:v>
                </c:pt>
                <c:pt idx="52">
                  <c:v>5</c:v>
                </c:pt>
                <c:pt idx="53">
                  <c:v>4</c:v>
                </c:pt>
                <c:pt idx="54">
                  <c:v>2</c:v>
                </c:pt>
                <c:pt idx="55">
                  <c:v>5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5</c:v>
                </c:pt>
                <c:pt idx="62">
                  <c:v>5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4</c:v>
                </c:pt>
                <c:pt idx="67">
                  <c:v>2</c:v>
                </c:pt>
                <c:pt idx="68">
                  <c:v>4</c:v>
                </c:pt>
                <c:pt idx="69">
                  <c:v>2</c:v>
                </c:pt>
                <c:pt idx="70">
                  <c:v>5</c:v>
                </c:pt>
                <c:pt idx="71">
                  <c:v>5</c:v>
                </c:pt>
                <c:pt idx="72">
                  <c:v>3</c:v>
                </c:pt>
                <c:pt idx="73">
                  <c:v>2</c:v>
                </c:pt>
                <c:pt idx="74">
                  <c:v>4</c:v>
                </c:pt>
                <c:pt idx="75">
                  <c:v>7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5</c:v>
                </c:pt>
                <c:pt idx="81">
                  <c:v>5</c:v>
                </c:pt>
                <c:pt idx="82">
                  <c:v>1</c:v>
                </c:pt>
                <c:pt idx="83">
                  <c:v>5</c:v>
                </c:pt>
                <c:pt idx="84">
                  <c:v>5</c:v>
                </c:pt>
                <c:pt idx="85">
                  <c:v>4</c:v>
                </c:pt>
                <c:pt idx="86">
                  <c:v>5</c:v>
                </c:pt>
                <c:pt idx="87">
                  <c:v>3</c:v>
                </c:pt>
                <c:pt idx="88">
                  <c:v>5</c:v>
                </c:pt>
                <c:pt idx="89">
                  <c:v>8</c:v>
                </c:pt>
                <c:pt idx="90">
                  <c:v>5</c:v>
                </c:pt>
                <c:pt idx="91">
                  <c:v>4</c:v>
                </c:pt>
                <c:pt idx="92">
                  <c:v>11</c:v>
                </c:pt>
                <c:pt idx="93">
                  <c:v>9</c:v>
                </c:pt>
                <c:pt idx="94">
                  <c:v>8</c:v>
                </c:pt>
                <c:pt idx="95">
                  <c:v>11</c:v>
                </c:pt>
                <c:pt idx="96">
                  <c:v>14</c:v>
                </c:pt>
                <c:pt idx="97">
                  <c:v>8</c:v>
                </c:pt>
                <c:pt idx="98">
                  <c:v>7</c:v>
                </c:pt>
              </c:numCache>
            </c:numRef>
          </c:xVal>
          <c:yVal>
            <c:numRef>
              <c:f>'Volkswagen tiguan'!$G$2:$G$100</c:f>
              <c:numCache>
                <c:formatCode>General</c:formatCode>
                <c:ptCount val="99"/>
                <c:pt idx="0">
                  <c:v>155000</c:v>
                </c:pt>
                <c:pt idx="1">
                  <c:v>136000</c:v>
                </c:pt>
                <c:pt idx="2">
                  <c:v>180000</c:v>
                </c:pt>
                <c:pt idx="3">
                  <c:v>175000</c:v>
                </c:pt>
                <c:pt idx="4">
                  <c:v>140000</c:v>
                </c:pt>
                <c:pt idx="5">
                  <c:v>96000</c:v>
                </c:pt>
                <c:pt idx="6">
                  <c:v>165000</c:v>
                </c:pt>
                <c:pt idx="7">
                  <c:v>70000</c:v>
                </c:pt>
                <c:pt idx="8">
                  <c:v>112000</c:v>
                </c:pt>
                <c:pt idx="9">
                  <c:v>112000</c:v>
                </c:pt>
                <c:pt idx="10">
                  <c:v>203000</c:v>
                </c:pt>
                <c:pt idx="11">
                  <c:v>111000</c:v>
                </c:pt>
                <c:pt idx="12">
                  <c:v>211000</c:v>
                </c:pt>
                <c:pt idx="13">
                  <c:v>180000</c:v>
                </c:pt>
                <c:pt idx="14">
                  <c:v>146000</c:v>
                </c:pt>
                <c:pt idx="15">
                  <c:v>92000</c:v>
                </c:pt>
                <c:pt idx="16">
                  <c:v>90000</c:v>
                </c:pt>
                <c:pt idx="17">
                  <c:v>164000</c:v>
                </c:pt>
                <c:pt idx="18">
                  <c:v>214000</c:v>
                </c:pt>
                <c:pt idx="19">
                  <c:v>205000</c:v>
                </c:pt>
                <c:pt idx="20">
                  <c:v>103000</c:v>
                </c:pt>
                <c:pt idx="21">
                  <c:v>103000</c:v>
                </c:pt>
                <c:pt idx="22">
                  <c:v>113000</c:v>
                </c:pt>
                <c:pt idx="23">
                  <c:v>185000</c:v>
                </c:pt>
                <c:pt idx="24">
                  <c:v>114000</c:v>
                </c:pt>
                <c:pt idx="25">
                  <c:v>143000</c:v>
                </c:pt>
                <c:pt idx="26">
                  <c:v>148000</c:v>
                </c:pt>
                <c:pt idx="27">
                  <c:v>144000</c:v>
                </c:pt>
                <c:pt idx="28">
                  <c:v>175000</c:v>
                </c:pt>
                <c:pt idx="29">
                  <c:v>118000</c:v>
                </c:pt>
                <c:pt idx="30">
                  <c:v>152000</c:v>
                </c:pt>
                <c:pt idx="31">
                  <c:v>134000</c:v>
                </c:pt>
                <c:pt idx="32">
                  <c:v>137000</c:v>
                </c:pt>
                <c:pt idx="33">
                  <c:v>217000</c:v>
                </c:pt>
                <c:pt idx="34">
                  <c:v>212000</c:v>
                </c:pt>
                <c:pt idx="35">
                  <c:v>155000</c:v>
                </c:pt>
                <c:pt idx="36">
                  <c:v>148000</c:v>
                </c:pt>
                <c:pt idx="37">
                  <c:v>58000</c:v>
                </c:pt>
                <c:pt idx="38">
                  <c:v>60000</c:v>
                </c:pt>
                <c:pt idx="39">
                  <c:v>82000</c:v>
                </c:pt>
                <c:pt idx="40">
                  <c:v>63000</c:v>
                </c:pt>
                <c:pt idx="41">
                  <c:v>57000</c:v>
                </c:pt>
                <c:pt idx="42">
                  <c:v>41000</c:v>
                </c:pt>
                <c:pt idx="43">
                  <c:v>134000</c:v>
                </c:pt>
                <c:pt idx="44">
                  <c:v>52000</c:v>
                </c:pt>
                <c:pt idx="45">
                  <c:v>101000</c:v>
                </c:pt>
                <c:pt idx="46">
                  <c:v>115000</c:v>
                </c:pt>
                <c:pt idx="47">
                  <c:v>129000</c:v>
                </c:pt>
                <c:pt idx="48">
                  <c:v>169000</c:v>
                </c:pt>
                <c:pt idx="49">
                  <c:v>28000</c:v>
                </c:pt>
                <c:pt idx="50">
                  <c:v>43000</c:v>
                </c:pt>
                <c:pt idx="51">
                  <c:v>103000</c:v>
                </c:pt>
                <c:pt idx="52">
                  <c:v>89000</c:v>
                </c:pt>
                <c:pt idx="53">
                  <c:v>41000</c:v>
                </c:pt>
                <c:pt idx="54">
                  <c:v>34000</c:v>
                </c:pt>
                <c:pt idx="55">
                  <c:v>56000</c:v>
                </c:pt>
                <c:pt idx="56">
                  <c:v>34000</c:v>
                </c:pt>
                <c:pt idx="57">
                  <c:v>75000</c:v>
                </c:pt>
                <c:pt idx="58">
                  <c:v>71000</c:v>
                </c:pt>
                <c:pt idx="59">
                  <c:v>23000</c:v>
                </c:pt>
                <c:pt idx="60">
                  <c:v>24000</c:v>
                </c:pt>
                <c:pt idx="61">
                  <c:v>120000</c:v>
                </c:pt>
                <c:pt idx="62">
                  <c:v>44000</c:v>
                </c:pt>
                <c:pt idx="63">
                  <c:v>34000</c:v>
                </c:pt>
                <c:pt idx="64">
                  <c:v>91000</c:v>
                </c:pt>
                <c:pt idx="65">
                  <c:v>79000</c:v>
                </c:pt>
                <c:pt idx="66">
                  <c:v>37000</c:v>
                </c:pt>
                <c:pt idx="67">
                  <c:v>38000</c:v>
                </c:pt>
                <c:pt idx="68">
                  <c:v>51000</c:v>
                </c:pt>
                <c:pt idx="69">
                  <c:v>33000</c:v>
                </c:pt>
                <c:pt idx="70">
                  <c:v>99000</c:v>
                </c:pt>
                <c:pt idx="71">
                  <c:v>110000</c:v>
                </c:pt>
                <c:pt idx="72">
                  <c:v>49000</c:v>
                </c:pt>
                <c:pt idx="73">
                  <c:v>32000</c:v>
                </c:pt>
                <c:pt idx="74">
                  <c:v>80000</c:v>
                </c:pt>
                <c:pt idx="75">
                  <c:v>127000</c:v>
                </c:pt>
                <c:pt idx="76">
                  <c:v>99000</c:v>
                </c:pt>
                <c:pt idx="77">
                  <c:v>93000</c:v>
                </c:pt>
                <c:pt idx="78">
                  <c:v>98000</c:v>
                </c:pt>
                <c:pt idx="79">
                  <c:v>122000</c:v>
                </c:pt>
                <c:pt idx="80">
                  <c:v>85000</c:v>
                </c:pt>
                <c:pt idx="81">
                  <c:v>86000</c:v>
                </c:pt>
                <c:pt idx="82">
                  <c:v>43000</c:v>
                </c:pt>
                <c:pt idx="83">
                  <c:v>73000</c:v>
                </c:pt>
                <c:pt idx="84">
                  <c:v>186000</c:v>
                </c:pt>
                <c:pt idx="85">
                  <c:v>45000</c:v>
                </c:pt>
                <c:pt idx="86">
                  <c:v>100000</c:v>
                </c:pt>
                <c:pt idx="87">
                  <c:v>55000</c:v>
                </c:pt>
                <c:pt idx="88">
                  <c:v>93000</c:v>
                </c:pt>
                <c:pt idx="89">
                  <c:v>225000</c:v>
                </c:pt>
                <c:pt idx="90">
                  <c:v>94000</c:v>
                </c:pt>
                <c:pt idx="91">
                  <c:v>57000</c:v>
                </c:pt>
                <c:pt idx="92">
                  <c:v>175000</c:v>
                </c:pt>
                <c:pt idx="93">
                  <c:v>297000</c:v>
                </c:pt>
                <c:pt idx="94">
                  <c:v>130000</c:v>
                </c:pt>
                <c:pt idx="95">
                  <c:v>136000</c:v>
                </c:pt>
                <c:pt idx="96">
                  <c:v>194000</c:v>
                </c:pt>
                <c:pt idx="97">
                  <c:v>76000</c:v>
                </c:pt>
                <c:pt idx="98">
                  <c:v>169000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99-4BD2-AD71-68B51139C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38960"/>
        <c:axId val="773387432"/>
      </c:scatterChart>
      <c:valAx>
        <c:axId val="6547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87432"/>
        <c:crosses val="autoZero"/>
        <c:crossBetween val="midCat"/>
      </c:valAx>
      <c:valAx>
        <c:axId val="7733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'Hyundai tucson'!$H$1</c:f>
              <c:strCache>
                <c:ptCount val="1"/>
                <c:pt idx="0">
                  <c:v>price/mileage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2324878362536698"/>
                  <c:y val="-3.9161198600174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tucson'!$G$2:$G$85</c:f>
              <c:numCache>
                <c:formatCode>General</c:formatCode>
                <c:ptCount val="84"/>
                <c:pt idx="0">
                  <c:v>115000</c:v>
                </c:pt>
                <c:pt idx="1">
                  <c:v>20000</c:v>
                </c:pt>
                <c:pt idx="2">
                  <c:v>75000</c:v>
                </c:pt>
                <c:pt idx="3">
                  <c:v>100000</c:v>
                </c:pt>
                <c:pt idx="4">
                  <c:v>120000</c:v>
                </c:pt>
                <c:pt idx="5">
                  <c:v>3000</c:v>
                </c:pt>
                <c:pt idx="6">
                  <c:v>198000</c:v>
                </c:pt>
                <c:pt idx="7">
                  <c:v>97000</c:v>
                </c:pt>
                <c:pt idx="8">
                  <c:v>46000</c:v>
                </c:pt>
                <c:pt idx="9">
                  <c:v>160000</c:v>
                </c:pt>
                <c:pt idx="10">
                  <c:v>174000</c:v>
                </c:pt>
                <c:pt idx="11">
                  <c:v>59000</c:v>
                </c:pt>
                <c:pt idx="12">
                  <c:v>96000</c:v>
                </c:pt>
                <c:pt idx="13">
                  <c:v>113000</c:v>
                </c:pt>
                <c:pt idx="14">
                  <c:v>151000</c:v>
                </c:pt>
                <c:pt idx="15">
                  <c:v>85000</c:v>
                </c:pt>
                <c:pt idx="16">
                  <c:v>110000</c:v>
                </c:pt>
                <c:pt idx="17">
                  <c:v>31000</c:v>
                </c:pt>
                <c:pt idx="18">
                  <c:v>140000</c:v>
                </c:pt>
                <c:pt idx="19">
                  <c:v>173000</c:v>
                </c:pt>
                <c:pt idx="20">
                  <c:v>98000</c:v>
                </c:pt>
                <c:pt idx="21">
                  <c:v>211000</c:v>
                </c:pt>
                <c:pt idx="22">
                  <c:v>142000</c:v>
                </c:pt>
                <c:pt idx="23">
                  <c:v>165000</c:v>
                </c:pt>
                <c:pt idx="24">
                  <c:v>59000</c:v>
                </c:pt>
                <c:pt idx="25">
                  <c:v>93000</c:v>
                </c:pt>
                <c:pt idx="26">
                  <c:v>40000</c:v>
                </c:pt>
                <c:pt idx="27">
                  <c:v>104000</c:v>
                </c:pt>
                <c:pt idx="28">
                  <c:v>65000</c:v>
                </c:pt>
                <c:pt idx="29">
                  <c:v>55000</c:v>
                </c:pt>
                <c:pt idx="30">
                  <c:v>40000</c:v>
                </c:pt>
                <c:pt idx="31">
                  <c:v>52000</c:v>
                </c:pt>
                <c:pt idx="32">
                  <c:v>52000</c:v>
                </c:pt>
                <c:pt idx="33">
                  <c:v>100000</c:v>
                </c:pt>
                <c:pt idx="34">
                  <c:v>43000</c:v>
                </c:pt>
                <c:pt idx="35">
                  <c:v>33000</c:v>
                </c:pt>
                <c:pt idx="36">
                  <c:v>60000</c:v>
                </c:pt>
                <c:pt idx="37">
                  <c:v>81000</c:v>
                </c:pt>
                <c:pt idx="38">
                  <c:v>46000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85000</c:v>
                </c:pt>
                <c:pt idx="43">
                  <c:v>159000</c:v>
                </c:pt>
                <c:pt idx="44">
                  <c:v>100000</c:v>
                </c:pt>
                <c:pt idx="45">
                  <c:v>100000</c:v>
                </c:pt>
                <c:pt idx="46">
                  <c:v>92000</c:v>
                </c:pt>
                <c:pt idx="47">
                  <c:v>79000</c:v>
                </c:pt>
                <c:pt idx="48">
                  <c:v>910</c:v>
                </c:pt>
                <c:pt idx="49">
                  <c:v>302</c:v>
                </c:pt>
                <c:pt idx="50">
                  <c:v>20000</c:v>
                </c:pt>
                <c:pt idx="51">
                  <c:v>107000</c:v>
                </c:pt>
                <c:pt idx="52">
                  <c:v>54000</c:v>
                </c:pt>
                <c:pt idx="53">
                  <c:v>147000</c:v>
                </c:pt>
                <c:pt idx="54">
                  <c:v>24000</c:v>
                </c:pt>
                <c:pt idx="55">
                  <c:v>51000</c:v>
                </c:pt>
                <c:pt idx="56">
                  <c:v>45000</c:v>
                </c:pt>
                <c:pt idx="57">
                  <c:v>196000</c:v>
                </c:pt>
                <c:pt idx="58">
                  <c:v>100000</c:v>
                </c:pt>
                <c:pt idx="59">
                  <c:v>74000</c:v>
                </c:pt>
                <c:pt idx="60">
                  <c:v>82000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52000</c:v>
                </c:pt>
                <c:pt idx="66">
                  <c:v>139000</c:v>
                </c:pt>
                <c:pt idx="67">
                  <c:v>910</c:v>
                </c:pt>
                <c:pt idx="68">
                  <c:v>300</c:v>
                </c:pt>
                <c:pt idx="69">
                  <c:v>300</c:v>
                </c:pt>
                <c:pt idx="70">
                  <c:v>72000</c:v>
                </c:pt>
                <c:pt idx="71">
                  <c:v>30000</c:v>
                </c:pt>
                <c:pt idx="72">
                  <c:v>155000</c:v>
                </c:pt>
                <c:pt idx="73">
                  <c:v>206000</c:v>
                </c:pt>
                <c:pt idx="74">
                  <c:v>54000</c:v>
                </c:pt>
                <c:pt idx="75">
                  <c:v>300</c:v>
                </c:pt>
                <c:pt idx="76">
                  <c:v>68000</c:v>
                </c:pt>
                <c:pt idx="77">
                  <c:v>300</c:v>
                </c:pt>
                <c:pt idx="78">
                  <c:v>300</c:v>
                </c:pt>
                <c:pt idx="79">
                  <c:v>99000</c:v>
                </c:pt>
                <c:pt idx="80">
                  <c:v>221000</c:v>
                </c:pt>
                <c:pt idx="81">
                  <c:v>230000</c:v>
                </c:pt>
                <c:pt idx="82">
                  <c:v>262000</c:v>
                </c:pt>
                <c:pt idx="83">
                  <c:v>258000</c:v>
                </c:pt>
              </c:numCache>
            </c:numRef>
          </c:xVal>
          <c:yVal>
            <c:numRef>
              <c:f>'Hyundai tucson'!$C$2:$C$85</c:f>
              <c:numCache>
                <c:formatCode>_(* #,##0_);_(* \(#,##0\);_(* "-"??_);_(@_)</c:formatCode>
                <c:ptCount val="84"/>
                <c:pt idx="0">
                  <c:v>9999</c:v>
                </c:pt>
                <c:pt idx="1">
                  <c:v>19800</c:v>
                </c:pt>
                <c:pt idx="2">
                  <c:v>9500</c:v>
                </c:pt>
                <c:pt idx="3">
                  <c:v>12400</c:v>
                </c:pt>
                <c:pt idx="4">
                  <c:v>12400</c:v>
                </c:pt>
                <c:pt idx="5">
                  <c:v>23900</c:v>
                </c:pt>
                <c:pt idx="6">
                  <c:v>5750</c:v>
                </c:pt>
                <c:pt idx="7">
                  <c:v>12500</c:v>
                </c:pt>
                <c:pt idx="8">
                  <c:v>15999</c:v>
                </c:pt>
                <c:pt idx="9">
                  <c:v>8999</c:v>
                </c:pt>
                <c:pt idx="10">
                  <c:v>8990</c:v>
                </c:pt>
                <c:pt idx="11">
                  <c:v>15995</c:v>
                </c:pt>
                <c:pt idx="12">
                  <c:v>10999</c:v>
                </c:pt>
                <c:pt idx="13">
                  <c:v>11999</c:v>
                </c:pt>
                <c:pt idx="14">
                  <c:v>11950</c:v>
                </c:pt>
                <c:pt idx="15">
                  <c:v>17495</c:v>
                </c:pt>
                <c:pt idx="16">
                  <c:v>13495</c:v>
                </c:pt>
                <c:pt idx="17">
                  <c:v>25494</c:v>
                </c:pt>
                <c:pt idx="18">
                  <c:v>12995</c:v>
                </c:pt>
                <c:pt idx="19">
                  <c:v>10995</c:v>
                </c:pt>
                <c:pt idx="20">
                  <c:v>11995</c:v>
                </c:pt>
                <c:pt idx="21">
                  <c:v>6800</c:v>
                </c:pt>
                <c:pt idx="22">
                  <c:v>10999</c:v>
                </c:pt>
                <c:pt idx="23">
                  <c:v>11990</c:v>
                </c:pt>
                <c:pt idx="24">
                  <c:v>20990</c:v>
                </c:pt>
                <c:pt idx="25">
                  <c:v>15500</c:v>
                </c:pt>
                <c:pt idx="26">
                  <c:v>29222</c:v>
                </c:pt>
                <c:pt idx="27">
                  <c:v>18995</c:v>
                </c:pt>
                <c:pt idx="28">
                  <c:v>26000</c:v>
                </c:pt>
                <c:pt idx="29">
                  <c:v>26495</c:v>
                </c:pt>
                <c:pt idx="30">
                  <c:v>31900</c:v>
                </c:pt>
                <c:pt idx="31">
                  <c:v>21991</c:v>
                </c:pt>
                <c:pt idx="32">
                  <c:v>21995</c:v>
                </c:pt>
                <c:pt idx="33">
                  <c:v>21000</c:v>
                </c:pt>
                <c:pt idx="34">
                  <c:v>27995</c:v>
                </c:pt>
                <c:pt idx="35">
                  <c:v>33696</c:v>
                </c:pt>
                <c:pt idx="36">
                  <c:v>24950</c:v>
                </c:pt>
                <c:pt idx="37">
                  <c:v>20999</c:v>
                </c:pt>
                <c:pt idx="38">
                  <c:v>29995</c:v>
                </c:pt>
                <c:pt idx="39">
                  <c:v>35788</c:v>
                </c:pt>
                <c:pt idx="40">
                  <c:v>35800</c:v>
                </c:pt>
                <c:pt idx="41">
                  <c:v>35999</c:v>
                </c:pt>
                <c:pt idx="42">
                  <c:v>24495</c:v>
                </c:pt>
                <c:pt idx="43">
                  <c:v>16735</c:v>
                </c:pt>
                <c:pt idx="44">
                  <c:v>20950</c:v>
                </c:pt>
                <c:pt idx="45">
                  <c:v>20950</c:v>
                </c:pt>
                <c:pt idx="46">
                  <c:v>20990</c:v>
                </c:pt>
                <c:pt idx="47">
                  <c:v>24999</c:v>
                </c:pt>
                <c:pt idx="48">
                  <c:v>38723</c:v>
                </c:pt>
                <c:pt idx="49">
                  <c:v>38811</c:v>
                </c:pt>
                <c:pt idx="50">
                  <c:v>32995</c:v>
                </c:pt>
                <c:pt idx="51">
                  <c:v>21988</c:v>
                </c:pt>
                <c:pt idx="52">
                  <c:v>33697</c:v>
                </c:pt>
                <c:pt idx="53">
                  <c:v>17500</c:v>
                </c:pt>
                <c:pt idx="54">
                  <c:v>35995</c:v>
                </c:pt>
                <c:pt idx="55">
                  <c:v>31995</c:v>
                </c:pt>
                <c:pt idx="56">
                  <c:v>32489</c:v>
                </c:pt>
                <c:pt idx="57">
                  <c:v>14299</c:v>
                </c:pt>
                <c:pt idx="58">
                  <c:v>20900</c:v>
                </c:pt>
                <c:pt idx="59">
                  <c:v>23998</c:v>
                </c:pt>
                <c:pt idx="60">
                  <c:v>28999</c:v>
                </c:pt>
                <c:pt idx="61">
                  <c:v>40099</c:v>
                </c:pt>
                <c:pt idx="62">
                  <c:v>41138</c:v>
                </c:pt>
                <c:pt idx="63">
                  <c:v>41281</c:v>
                </c:pt>
                <c:pt idx="64">
                  <c:v>41388</c:v>
                </c:pt>
                <c:pt idx="65">
                  <c:v>24999</c:v>
                </c:pt>
                <c:pt idx="66">
                  <c:v>18000</c:v>
                </c:pt>
                <c:pt idx="67">
                  <c:v>42973</c:v>
                </c:pt>
                <c:pt idx="68">
                  <c:v>42988</c:v>
                </c:pt>
                <c:pt idx="69">
                  <c:v>42988</c:v>
                </c:pt>
                <c:pt idx="70">
                  <c:v>28500</c:v>
                </c:pt>
                <c:pt idx="71">
                  <c:v>32995</c:v>
                </c:pt>
                <c:pt idx="72">
                  <c:v>23995</c:v>
                </c:pt>
                <c:pt idx="73">
                  <c:v>13450</c:v>
                </c:pt>
                <c:pt idx="74">
                  <c:v>33995</c:v>
                </c:pt>
                <c:pt idx="75">
                  <c:v>46000</c:v>
                </c:pt>
                <c:pt idx="76">
                  <c:v>30000</c:v>
                </c:pt>
                <c:pt idx="77">
                  <c:v>47951</c:v>
                </c:pt>
                <c:pt idx="78">
                  <c:v>51700</c:v>
                </c:pt>
                <c:pt idx="79">
                  <c:v>30000</c:v>
                </c:pt>
                <c:pt idx="80">
                  <c:v>16499</c:v>
                </c:pt>
                <c:pt idx="81">
                  <c:v>14999</c:v>
                </c:pt>
                <c:pt idx="82">
                  <c:v>9995</c:v>
                </c:pt>
                <c:pt idx="83">
                  <c:v>10500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1A-45E1-9FFE-560385225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42608"/>
        <c:axId val="433142968"/>
      </c:scatterChart>
      <c:scatterChart>
        <c:scatterStyle val="lineMarker"/>
        <c:varyColors val="0"/>
        <c:ser>
          <c:idx val="0"/>
          <c:order val="0"/>
          <c:tx>
            <c:strRef>
              <c:f>'Hyundai tucson'!$I$1</c:f>
              <c:strCache>
                <c:ptCount val="1"/>
                <c:pt idx="0">
                  <c:v>Price/age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83392984967789"/>
                  <c:y val="2.81007582385535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tucson'!$G$2:$G$85</c:f>
              <c:numCache>
                <c:formatCode>General</c:formatCode>
                <c:ptCount val="84"/>
                <c:pt idx="0">
                  <c:v>115000</c:v>
                </c:pt>
                <c:pt idx="1">
                  <c:v>20000</c:v>
                </c:pt>
                <c:pt idx="2">
                  <c:v>75000</c:v>
                </c:pt>
                <c:pt idx="3">
                  <c:v>100000</c:v>
                </c:pt>
                <c:pt idx="4">
                  <c:v>120000</c:v>
                </c:pt>
                <c:pt idx="5">
                  <c:v>3000</c:v>
                </c:pt>
                <c:pt idx="6">
                  <c:v>198000</c:v>
                </c:pt>
                <c:pt idx="7">
                  <c:v>97000</c:v>
                </c:pt>
                <c:pt idx="8">
                  <c:v>46000</c:v>
                </c:pt>
                <c:pt idx="9">
                  <c:v>160000</c:v>
                </c:pt>
                <c:pt idx="10">
                  <c:v>174000</c:v>
                </c:pt>
                <c:pt idx="11">
                  <c:v>59000</c:v>
                </c:pt>
                <c:pt idx="12">
                  <c:v>96000</c:v>
                </c:pt>
                <c:pt idx="13">
                  <c:v>113000</c:v>
                </c:pt>
                <c:pt idx="14">
                  <c:v>151000</c:v>
                </c:pt>
                <c:pt idx="15">
                  <c:v>85000</c:v>
                </c:pt>
                <c:pt idx="16">
                  <c:v>110000</c:v>
                </c:pt>
                <c:pt idx="17">
                  <c:v>31000</c:v>
                </c:pt>
                <c:pt idx="18">
                  <c:v>140000</c:v>
                </c:pt>
                <c:pt idx="19">
                  <c:v>173000</c:v>
                </c:pt>
                <c:pt idx="20">
                  <c:v>98000</c:v>
                </c:pt>
                <c:pt idx="21">
                  <c:v>211000</c:v>
                </c:pt>
                <c:pt idx="22">
                  <c:v>142000</c:v>
                </c:pt>
                <c:pt idx="23">
                  <c:v>165000</c:v>
                </c:pt>
                <c:pt idx="24">
                  <c:v>59000</c:v>
                </c:pt>
                <c:pt idx="25">
                  <c:v>93000</c:v>
                </c:pt>
                <c:pt idx="26">
                  <c:v>40000</c:v>
                </c:pt>
                <c:pt idx="27">
                  <c:v>104000</c:v>
                </c:pt>
                <c:pt idx="28">
                  <c:v>65000</c:v>
                </c:pt>
                <c:pt idx="29">
                  <c:v>55000</c:v>
                </c:pt>
                <c:pt idx="30">
                  <c:v>40000</c:v>
                </c:pt>
                <c:pt idx="31">
                  <c:v>52000</c:v>
                </c:pt>
                <c:pt idx="32">
                  <c:v>52000</c:v>
                </c:pt>
                <c:pt idx="33">
                  <c:v>100000</c:v>
                </c:pt>
                <c:pt idx="34">
                  <c:v>43000</c:v>
                </c:pt>
                <c:pt idx="35">
                  <c:v>33000</c:v>
                </c:pt>
                <c:pt idx="36">
                  <c:v>60000</c:v>
                </c:pt>
                <c:pt idx="37">
                  <c:v>81000</c:v>
                </c:pt>
                <c:pt idx="38">
                  <c:v>46000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85000</c:v>
                </c:pt>
                <c:pt idx="43">
                  <c:v>159000</c:v>
                </c:pt>
                <c:pt idx="44">
                  <c:v>100000</c:v>
                </c:pt>
                <c:pt idx="45">
                  <c:v>100000</c:v>
                </c:pt>
                <c:pt idx="46">
                  <c:v>92000</c:v>
                </c:pt>
                <c:pt idx="47">
                  <c:v>79000</c:v>
                </c:pt>
                <c:pt idx="48">
                  <c:v>910</c:v>
                </c:pt>
                <c:pt idx="49">
                  <c:v>302</c:v>
                </c:pt>
                <c:pt idx="50">
                  <c:v>20000</c:v>
                </c:pt>
                <c:pt idx="51">
                  <c:v>107000</c:v>
                </c:pt>
                <c:pt idx="52">
                  <c:v>54000</c:v>
                </c:pt>
                <c:pt idx="53">
                  <c:v>147000</c:v>
                </c:pt>
                <c:pt idx="54">
                  <c:v>24000</c:v>
                </c:pt>
                <c:pt idx="55">
                  <c:v>51000</c:v>
                </c:pt>
                <c:pt idx="56">
                  <c:v>45000</c:v>
                </c:pt>
                <c:pt idx="57">
                  <c:v>196000</c:v>
                </c:pt>
                <c:pt idx="58">
                  <c:v>100000</c:v>
                </c:pt>
                <c:pt idx="59">
                  <c:v>74000</c:v>
                </c:pt>
                <c:pt idx="60">
                  <c:v>82000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52000</c:v>
                </c:pt>
                <c:pt idx="66">
                  <c:v>139000</c:v>
                </c:pt>
                <c:pt idx="67">
                  <c:v>910</c:v>
                </c:pt>
                <c:pt idx="68">
                  <c:v>300</c:v>
                </c:pt>
                <c:pt idx="69">
                  <c:v>300</c:v>
                </c:pt>
                <c:pt idx="70">
                  <c:v>72000</c:v>
                </c:pt>
                <c:pt idx="71">
                  <c:v>30000</c:v>
                </c:pt>
                <c:pt idx="72">
                  <c:v>155000</c:v>
                </c:pt>
                <c:pt idx="73">
                  <c:v>206000</c:v>
                </c:pt>
                <c:pt idx="74">
                  <c:v>54000</c:v>
                </c:pt>
                <c:pt idx="75">
                  <c:v>300</c:v>
                </c:pt>
                <c:pt idx="76">
                  <c:v>68000</c:v>
                </c:pt>
                <c:pt idx="77">
                  <c:v>300</c:v>
                </c:pt>
                <c:pt idx="78">
                  <c:v>300</c:v>
                </c:pt>
                <c:pt idx="79">
                  <c:v>99000</c:v>
                </c:pt>
                <c:pt idx="80">
                  <c:v>221000</c:v>
                </c:pt>
                <c:pt idx="81">
                  <c:v>230000</c:v>
                </c:pt>
                <c:pt idx="82">
                  <c:v>262000</c:v>
                </c:pt>
                <c:pt idx="83">
                  <c:v>258000</c:v>
                </c:pt>
              </c:numCache>
            </c:numRef>
          </c:xVal>
          <c:yVal>
            <c:numRef>
              <c:f>'Hyundai tucson'!$J$2:$J$85</c:f>
              <c:numCache>
                <c:formatCode>General</c:formatCode>
                <c:ptCount val="84"/>
                <c:pt idx="0">
                  <c:v>6</c:v>
                </c:pt>
                <c:pt idx="1">
                  <c:v>1</c:v>
                </c:pt>
                <c:pt idx="2">
                  <c:v>11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12</c:v>
                </c:pt>
                <c:pt idx="7">
                  <c:v>8</c:v>
                </c:pt>
                <c:pt idx="8">
                  <c:v>8</c:v>
                </c:pt>
                <c:pt idx="9">
                  <c:v>11</c:v>
                </c:pt>
                <c:pt idx="10">
                  <c:v>10</c:v>
                </c:pt>
                <c:pt idx="11">
                  <c:v>8</c:v>
                </c:pt>
                <c:pt idx="12">
                  <c:v>12</c:v>
                </c:pt>
                <c:pt idx="13">
                  <c:v>10</c:v>
                </c:pt>
                <c:pt idx="14">
                  <c:v>8</c:v>
                </c:pt>
                <c:pt idx="15">
                  <c:v>6</c:v>
                </c:pt>
                <c:pt idx="16">
                  <c:v>9</c:v>
                </c:pt>
                <c:pt idx="17">
                  <c:v>3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12</c:v>
                </c:pt>
                <c:pt idx="22">
                  <c:v>11</c:v>
                </c:pt>
                <c:pt idx="23">
                  <c:v>8</c:v>
                </c:pt>
                <c:pt idx="24">
                  <c:v>6</c:v>
                </c:pt>
                <c:pt idx="25">
                  <c:v>9</c:v>
                </c:pt>
                <c:pt idx="26">
                  <c:v>2</c:v>
                </c:pt>
                <c:pt idx="27">
                  <c:v>6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3</c:v>
                </c:pt>
                <c:pt idx="35">
                  <c:v>1</c:v>
                </c:pt>
                <c:pt idx="36">
                  <c:v>4</c:v>
                </c:pt>
                <c:pt idx="37">
                  <c:v>6</c:v>
                </c:pt>
                <c:pt idx="38">
                  <c:v>2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4</c:v>
                </c:pt>
                <c:pt idx="48">
                  <c:v>0.8</c:v>
                </c:pt>
                <c:pt idx="49">
                  <c:v>0.8</c:v>
                </c:pt>
                <c:pt idx="50">
                  <c:v>2</c:v>
                </c:pt>
                <c:pt idx="51">
                  <c:v>5</c:v>
                </c:pt>
                <c:pt idx="52">
                  <c:v>1</c:v>
                </c:pt>
                <c:pt idx="53">
                  <c:v>6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6</c:v>
                </c:pt>
                <c:pt idx="58">
                  <c:v>7</c:v>
                </c:pt>
                <c:pt idx="59">
                  <c:v>6</c:v>
                </c:pt>
                <c:pt idx="60">
                  <c:v>3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7</c:v>
                </c:pt>
                <c:pt idx="66">
                  <c:v>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7</c:v>
                </c:pt>
                <c:pt idx="74">
                  <c:v>4</c:v>
                </c:pt>
                <c:pt idx="75">
                  <c:v>0.8</c:v>
                </c:pt>
                <c:pt idx="76">
                  <c:v>5</c:v>
                </c:pt>
                <c:pt idx="77">
                  <c:v>0.8</c:v>
                </c:pt>
                <c:pt idx="78">
                  <c:v>0.8</c:v>
                </c:pt>
                <c:pt idx="79">
                  <c:v>7</c:v>
                </c:pt>
                <c:pt idx="80">
                  <c:v>6</c:v>
                </c:pt>
                <c:pt idx="81">
                  <c:v>6</c:v>
                </c:pt>
                <c:pt idx="82">
                  <c:v>7</c:v>
                </c:pt>
                <c:pt idx="83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1A-45E1-9FFE-560385225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1608"/>
        <c:axId val="433154848"/>
      </c:scatterChart>
      <c:valAx>
        <c:axId val="4331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968"/>
        <c:crosses val="autoZero"/>
        <c:crossBetween val="midCat"/>
      </c:valAx>
      <c:valAx>
        <c:axId val="43314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608"/>
        <c:crosses val="autoZero"/>
        <c:crossBetween val="midCat"/>
      </c:valAx>
      <c:valAx>
        <c:axId val="43315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1608"/>
        <c:crosses val="max"/>
        <c:crossBetween val="midCat"/>
      </c:valAx>
      <c:valAx>
        <c:axId val="4331516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484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'Hyundai tucson'!$G$1</c:f>
              <c:strCache>
                <c:ptCount val="1"/>
                <c:pt idx="0">
                  <c:v>Mileage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0.44996172353455816"/>
                  <c:y val="-0.1674030329542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tucson'!$J$2:$J$85</c:f>
              <c:numCache>
                <c:formatCode>General</c:formatCode>
                <c:ptCount val="84"/>
                <c:pt idx="0">
                  <c:v>6</c:v>
                </c:pt>
                <c:pt idx="1">
                  <c:v>1</c:v>
                </c:pt>
                <c:pt idx="2">
                  <c:v>11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12</c:v>
                </c:pt>
                <c:pt idx="7">
                  <c:v>8</c:v>
                </c:pt>
                <c:pt idx="8">
                  <c:v>8</c:v>
                </c:pt>
                <c:pt idx="9">
                  <c:v>11</c:v>
                </c:pt>
                <c:pt idx="10">
                  <c:v>10</c:v>
                </c:pt>
                <c:pt idx="11">
                  <c:v>8</c:v>
                </c:pt>
                <c:pt idx="12">
                  <c:v>12</c:v>
                </c:pt>
                <c:pt idx="13">
                  <c:v>10</c:v>
                </c:pt>
                <c:pt idx="14">
                  <c:v>8</c:v>
                </c:pt>
                <c:pt idx="15">
                  <c:v>6</c:v>
                </c:pt>
                <c:pt idx="16">
                  <c:v>9</c:v>
                </c:pt>
                <c:pt idx="17">
                  <c:v>3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12</c:v>
                </c:pt>
                <c:pt idx="22">
                  <c:v>11</c:v>
                </c:pt>
                <c:pt idx="23">
                  <c:v>8</c:v>
                </c:pt>
                <c:pt idx="24">
                  <c:v>6</c:v>
                </c:pt>
                <c:pt idx="25">
                  <c:v>9</c:v>
                </c:pt>
                <c:pt idx="26">
                  <c:v>2</c:v>
                </c:pt>
                <c:pt idx="27">
                  <c:v>6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3</c:v>
                </c:pt>
                <c:pt idx="35">
                  <c:v>1</c:v>
                </c:pt>
                <c:pt idx="36">
                  <c:v>4</c:v>
                </c:pt>
                <c:pt idx="37">
                  <c:v>6</c:v>
                </c:pt>
                <c:pt idx="38">
                  <c:v>2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4</c:v>
                </c:pt>
                <c:pt idx="48">
                  <c:v>0.8</c:v>
                </c:pt>
                <c:pt idx="49">
                  <c:v>0.8</c:v>
                </c:pt>
                <c:pt idx="50">
                  <c:v>2</c:v>
                </c:pt>
                <c:pt idx="51">
                  <c:v>5</c:v>
                </c:pt>
                <c:pt idx="52">
                  <c:v>1</c:v>
                </c:pt>
                <c:pt idx="53">
                  <c:v>6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6</c:v>
                </c:pt>
                <c:pt idx="58">
                  <c:v>7</c:v>
                </c:pt>
                <c:pt idx="59">
                  <c:v>6</c:v>
                </c:pt>
                <c:pt idx="60">
                  <c:v>3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7</c:v>
                </c:pt>
                <c:pt idx="66">
                  <c:v>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7</c:v>
                </c:pt>
                <c:pt idx="74">
                  <c:v>4</c:v>
                </c:pt>
                <c:pt idx="75">
                  <c:v>0.8</c:v>
                </c:pt>
                <c:pt idx="76">
                  <c:v>5</c:v>
                </c:pt>
                <c:pt idx="77">
                  <c:v>0.8</c:v>
                </c:pt>
                <c:pt idx="78">
                  <c:v>0.8</c:v>
                </c:pt>
                <c:pt idx="79">
                  <c:v>7</c:v>
                </c:pt>
                <c:pt idx="80">
                  <c:v>6</c:v>
                </c:pt>
                <c:pt idx="81">
                  <c:v>6</c:v>
                </c:pt>
                <c:pt idx="82">
                  <c:v>7</c:v>
                </c:pt>
                <c:pt idx="83">
                  <c:v>7</c:v>
                </c:pt>
              </c:numCache>
            </c:numRef>
          </c:xVal>
          <c:yVal>
            <c:numRef>
              <c:f>'Hyundai tucson'!$G$2:$G$85</c:f>
              <c:numCache>
                <c:formatCode>General</c:formatCode>
                <c:ptCount val="84"/>
                <c:pt idx="0">
                  <c:v>115000</c:v>
                </c:pt>
                <c:pt idx="1">
                  <c:v>20000</c:v>
                </c:pt>
                <c:pt idx="2">
                  <c:v>75000</c:v>
                </c:pt>
                <c:pt idx="3">
                  <c:v>100000</c:v>
                </c:pt>
                <c:pt idx="4">
                  <c:v>120000</c:v>
                </c:pt>
                <c:pt idx="5">
                  <c:v>3000</c:v>
                </c:pt>
                <c:pt idx="6">
                  <c:v>198000</c:v>
                </c:pt>
                <c:pt idx="7">
                  <c:v>97000</c:v>
                </c:pt>
                <c:pt idx="8">
                  <c:v>46000</c:v>
                </c:pt>
                <c:pt idx="9">
                  <c:v>160000</c:v>
                </c:pt>
                <c:pt idx="10">
                  <c:v>174000</c:v>
                </c:pt>
                <c:pt idx="11">
                  <c:v>59000</c:v>
                </c:pt>
                <c:pt idx="12">
                  <c:v>96000</c:v>
                </c:pt>
                <c:pt idx="13">
                  <c:v>113000</c:v>
                </c:pt>
                <c:pt idx="14">
                  <c:v>151000</c:v>
                </c:pt>
                <c:pt idx="15">
                  <c:v>85000</c:v>
                </c:pt>
                <c:pt idx="16">
                  <c:v>110000</c:v>
                </c:pt>
                <c:pt idx="17">
                  <c:v>31000</c:v>
                </c:pt>
                <c:pt idx="18">
                  <c:v>140000</c:v>
                </c:pt>
                <c:pt idx="19">
                  <c:v>173000</c:v>
                </c:pt>
                <c:pt idx="20">
                  <c:v>98000</c:v>
                </c:pt>
                <c:pt idx="21">
                  <c:v>211000</c:v>
                </c:pt>
                <c:pt idx="22">
                  <c:v>142000</c:v>
                </c:pt>
                <c:pt idx="23">
                  <c:v>165000</c:v>
                </c:pt>
                <c:pt idx="24">
                  <c:v>59000</c:v>
                </c:pt>
                <c:pt idx="25">
                  <c:v>93000</c:v>
                </c:pt>
                <c:pt idx="26">
                  <c:v>40000</c:v>
                </c:pt>
                <c:pt idx="27">
                  <c:v>104000</c:v>
                </c:pt>
                <c:pt idx="28">
                  <c:v>65000</c:v>
                </c:pt>
                <c:pt idx="29">
                  <c:v>55000</c:v>
                </c:pt>
                <c:pt idx="30">
                  <c:v>40000</c:v>
                </c:pt>
                <c:pt idx="31">
                  <c:v>52000</c:v>
                </c:pt>
                <c:pt idx="32">
                  <c:v>52000</c:v>
                </c:pt>
                <c:pt idx="33">
                  <c:v>100000</c:v>
                </c:pt>
                <c:pt idx="34">
                  <c:v>43000</c:v>
                </c:pt>
                <c:pt idx="35">
                  <c:v>33000</c:v>
                </c:pt>
                <c:pt idx="36">
                  <c:v>60000</c:v>
                </c:pt>
                <c:pt idx="37">
                  <c:v>81000</c:v>
                </c:pt>
                <c:pt idx="38">
                  <c:v>46000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85000</c:v>
                </c:pt>
                <c:pt idx="43">
                  <c:v>159000</c:v>
                </c:pt>
                <c:pt idx="44">
                  <c:v>100000</c:v>
                </c:pt>
                <c:pt idx="45">
                  <c:v>100000</c:v>
                </c:pt>
                <c:pt idx="46">
                  <c:v>92000</c:v>
                </c:pt>
                <c:pt idx="47">
                  <c:v>79000</c:v>
                </c:pt>
                <c:pt idx="48">
                  <c:v>910</c:v>
                </c:pt>
                <c:pt idx="49">
                  <c:v>302</c:v>
                </c:pt>
                <c:pt idx="50">
                  <c:v>20000</c:v>
                </c:pt>
                <c:pt idx="51">
                  <c:v>107000</c:v>
                </c:pt>
                <c:pt idx="52">
                  <c:v>54000</c:v>
                </c:pt>
                <c:pt idx="53">
                  <c:v>147000</c:v>
                </c:pt>
                <c:pt idx="54">
                  <c:v>24000</c:v>
                </c:pt>
                <c:pt idx="55">
                  <c:v>51000</c:v>
                </c:pt>
                <c:pt idx="56">
                  <c:v>45000</c:v>
                </c:pt>
                <c:pt idx="57">
                  <c:v>196000</c:v>
                </c:pt>
                <c:pt idx="58">
                  <c:v>100000</c:v>
                </c:pt>
                <c:pt idx="59">
                  <c:v>74000</c:v>
                </c:pt>
                <c:pt idx="60">
                  <c:v>82000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52000</c:v>
                </c:pt>
                <c:pt idx="66">
                  <c:v>139000</c:v>
                </c:pt>
                <c:pt idx="67">
                  <c:v>910</c:v>
                </c:pt>
                <c:pt idx="68">
                  <c:v>300</c:v>
                </c:pt>
                <c:pt idx="69">
                  <c:v>300</c:v>
                </c:pt>
                <c:pt idx="70">
                  <c:v>72000</c:v>
                </c:pt>
                <c:pt idx="71">
                  <c:v>30000</c:v>
                </c:pt>
                <c:pt idx="72">
                  <c:v>155000</c:v>
                </c:pt>
                <c:pt idx="73">
                  <c:v>206000</c:v>
                </c:pt>
                <c:pt idx="74">
                  <c:v>54000</c:v>
                </c:pt>
                <c:pt idx="75">
                  <c:v>300</c:v>
                </c:pt>
                <c:pt idx="76">
                  <c:v>68000</c:v>
                </c:pt>
                <c:pt idx="77">
                  <c:v>300</c:v>
                </c:pt>
                <c:pt idx="78">
                  <c:v>300</c:v>
                </c:pt>
                <c:pt idx="79">
                  <c:v>99000</c:v>
                </c:pt>
                <c:pt idx="80">
                  <c:v>221000</c:v>
                </c:pt>
                <c:pt idx="81">
                  <c:v>230000</c:v>
                </c:pt>
                <c:pt idx="82">
                  <c:v>262000</c:v>
                </c:pt>
                <c:pt idx="83">
                  <c:v>258000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D2-4951-9C68-2D7A7E833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38960"/>
        <c:axId val="773387432"/>
      </c:scatterChart>
      <c:valAx>
        <c:axId val="6547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87432"/>
        <c:crosses val="autoZero"/>
        <c:crossBetween val="midCat"/>
      </c:valAx>
      <c:valAx>
        <c:axId val="7733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'Hyundai Santafe'!$H$1</c:f>
              <c:strCache>
                <c:ptCount val="1"/>
                <c:pt idx="0">
                  <c:v>price/mileage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2324878362536698"/>
                  <c:y val="-3.9161198600174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Santafe'!$G$2:$G$71</c:f>
              <c:numCache>
                <c:formatCode>General</c:formatCode>
                <c:ptCount val="70"/>
                <c:pt idx="0">
                  <c:v>106000</c:v>
                </c:pt>
                <c:pt idx="1">
                  <c:v>177000</c:v>
                </c:pt>
                <c:pt idx="2">
                  <c:v>156000</c:v>
                </c:pt>
                <c:pt idx="3">
                  <c:v>157000</c:v>
                </c:pt>
                <c:pt idx="4">
                  <c:v>214000</c:v>
                </c:pt>
                <c:pt idx="5">
                  <c:v>172000</c:v>
                </c:pt>
                <c:pt idx="6">
                  <c:v>175000</c:v>
                </c:pt>
                <c:pt idx="7">
                  <c:v>67000</c:v>
                </c:pt>
                <c:pt idx="8">
                  <c:v>241000</c:v>
                </c:pt>
                <c:pt idx="9">
                  <c:v>75000</c:v>
                </c:pt>
                <c:pt idx="10">
                  <c:v>100000</c:v>
                </c:pt>
                <c:pt idx="11">
                  <c:v>183000</c:v>
                </c:pt>
                <c:pt idx="12">
                  <c:v>168000</c:v>
                </c:pt>
                <c:pt idx="13">
                  <c:v>245000</c:v>
                </c:pt>
                <c:pt idx="14">
                  <c:v>262000</c:v>
                </c:pt>
                <c:pt idx="15">
                  <c:v>166000</c:v>
                </c:pt>
                <c:pt idx="16">
                  <c:v>160000</c:v>
                </c:pt>
                <c:pt idx="17">
                  <c:v>10000</c:v>
                </c:pt>
                <c:pt idx="18">
                  <c:v>105000</c:v>
                </c:pt>
                <c:pt idx="19">
                  <c:v>3000</c:v>
                </c:pt>
                <c:pt idx="20">
                  <c:v>87000</c:v>
                </c:pt>
                <c:pt idx="21">
                  <c:v>223000</c:v>
                </c:pt>
                <c:pt idx="22">
                  <c:v>180000</c:v>
                </c:pt>
                <c:pt idx="23">
                  <c:v>140000</c:v>
                </c:pt>
                <c:pt idx="24">
                  <c:v>165000</c:v>
                </c:pt>
                <c:pt idx="25">
                  <c:v>176000</c:v>
                </c:pt>
                <c:pt idx="26">
                  <c:v>192000</c:v>
                </c:pt>
                <c:pt idx="27">
                  <c:v>108000</c:v>
                </c:pt>
                <c:pt idx="28">
                  <c:v>148000</c:v>
                </c:pt>
                <c:pt idx="29">
                  <c:v>176000</c:v>
                </c:pt>
                <c:pt idx="30">
                  <c:v>120000</c:v>
                </c:pt>
                <c:pt idx="31">
                  <c:v>180000</c:v>
                </c:pt>
                <c:pt idx="32">
                  <c:v>93000</c:v>
                </c:pt>
                <c:pt idx="33">
                  <c:v>135000</c:v>
                </c:pt>
                <c:pt idx="34">
                  <c:v>48000</c:v>
                </c:pt>
                <c:pt idx="35">
                  <c:v>48000</c:v>
                </c:pt>
                <c:pt idx="36">
                  <c:v>163000</c:v>
                </c:pt>
                <c:pt idx="37">
                  <c:v>149000</c:v>
                </c:pt>
                <c:pt idx="38">
                  <c:v>126000</c:v>
                </c:pt>
                <c:pt idx="39">
                  <c:v>109000</c:v>
                </c:pt>
                <c:pt idx="40">
                  <c:v>96000</c:v>
                </c:pt>
                <c:pt idx="41">
                  <c:v>132000</c:v>
                </c:pt>
                <c:pt idx="42">
                  <c:v>98000</c:v>
                </c:pt>
                <c:pt idx="43">
                  <c:v>106000</c:v>
                </c:pt>
                <c:pt idx="44">
                  <c:v>170000</c:v>
                </c:pt>
                <c:pt idx="45">
                  <c:v>238000</c:v>
                </c:pt>
                <c:pt idx="46">
                  <c:v>153000</c:v>
                </c:pt>
                <c:pt idx="47">
                  <c:v>94000</c:v>
                </c:pt>
                <c:pt idx="48">
                  <c:v>68000</c:v>
                </c:pt>
                <c:pt idx="49">
                  <c:v>194000</c:v>
                </c:pt>
                <c:pt idx="50">
                  <c:v>111000</c:v>
                </c:pt>
                <c:pt idx="51">
                  <c:v>211000</c:v>
                </c:pt>
                <c:pt idx="52">
                  <c:v>162000</c:v>
                </c:pt>
                <c:pt idx="53">
                  <c:v>108000</c:v>
                </c:pt>
                <c:pt idx="54">
                  <c:v>167000</c:v>
                </c:pt>
                <c:pt idx="55">
                  <c:v>144000</c:v>
                </c:pt>
                <c:pt idx="56">
                  <c:v>167000</c:v>
                </c:pt>
                <c:pt idx="57">
                  <c:v>65000</c:v>
                </c:pt>
                <c:pt idx="58">
                  <c:v>87000</c:v>
                </c:pt>
                <c:pt idx="59">
                  <c:v>124000</c:v>
                </c:pt>
                <c:pt idx="60">
                  <c:v>160000</c:v>
                </c:pt>
                <c:pt idx="61">
                  <c:v>246000</c:v>
                </c:pt>
                <c:pt idx="62">
                  <c:v>266000</c:v>
                </c:pt>
                <c:pt idx="63">
                  <c:v>52000</c:v>
                </c:pt>
                <c:pt idx="64">
                  <c:v>59000</c:v>
                </c:pt>
                <c:pt idx="65">
                  <c:v>132000</c:v>
                </c:pt>
                <c:pt idx="66">
                  <c:v>77000</c:v>
                </c:pt>
                <c:pt idx="67">
                  <c:v>300</c:v>
                </c:pt>
                <c:pt idx="68">
                  <c:v>361000</c:v>
                </c:pt>
                <c:pt idx="69">
                  <c:v>212200</c:v>
                </c:pt>
              </c:numCache>
            </c:numRef>
          </c:xVal>
          <c:yVal>
            <c:numRef>
              <c:f>'Hyundai Santafe'!$C$2:$C$71</c:f>
              <c:numCache>
                <c:formatCode>_(* #,##0_);_(* \(#,##0\);_(* "-"??_);_(@_)</c:formatCode>
                <c:ptCount val="70"/>
                <c:pt idx="0">
                  <c:v>1200</c:v>
                </c:pt>
                <c:pt idx="1">
                  <c:v>3750</c:v>
                </c:pt>
                <c:pt idx="2">
                  <c:v>5999</c:v>
                </c:pt>
                <c:pt idx="3">
                  <c:v>6500</c:v>
                </c:pt>
                <c:pt idx="4">
                  <c:v>3995</c:v>
                </c:pt>
                <c:pt idx="5">
                  <c:v>4750</c:v>
                </c:pt>
                <c:pt idx="6">
                  <c:v>6400</c:v>
                </c:pt>
                <c:pt idx="7">
                  <c:v>13000</c:v>
                </c:pt>
                <c:pt idx="8">
                  <c:v>4800</c:v>
                </c:pt>
                <c:pt idx="9">
                  <c:v>9500</c:v>
                </c:pt>
                <c:pt idx="10">
                  <c:v>12400</c:v>
                </c:pt>
                <c:pt idx="11">
                  <c:v>9900</c:v>
                </c:pt>
                <c:pt idx="12">
                  <c:v>5888</c:v>
                </c:pt>
                <c:pt idx="13">
                  <c:v>4995</c:v>
                </c:pt>
                <c:pt idx="14">
                  <c:v>4250</c:v>
                </c:pt>
                <c:pt idx="15">
                  <c:v>10999</c:v>
                </c:pt>
                <c:pt idx="16">
                  <c:v>8999</c:v>
                </c:pt>
                <c:pt idx="17">
                  <c:v>17000</c:v>
                </c:pt>
                <c:pt idx="18">
                  <c:v>14900</c:v>
                </c:pt>
                <c:pt idx="19">
                  <c:v>23900</c:v>
                </c:pt>
                <c:pt idx="20">
                  <c:v>8999</c:v>
                </c:pt>
                <c:pt idx="21">
                  <c:v>7995</c:v>
                </c:pt>
                <c:pt idx="22">
                  <c:v>9980</c:v>
                </c:pt>
                <c:pt idx="23">
                  <c:v>12995</c:v>
                </c:pt>
                <c:pt idx="24">
                  <c:v>11990</c:v>
                </c:pt>
                <c:pt idx="25">
                  <c:v>10995</c:v>
                </c:pt>
                <c:pt idx="26">
                  <c:v>9995</c:v>
                </c:pt>
                <c:pt idx="27">
                  <c:v>14999</c:v>
                </c:pt>
                <c:pt idx="28">
                  <c:v>11985</c:v>
                </c:pt>
                <c:pt idx="29">
                  <c:v>15995</c:v>
                </c:pt>
                <c:pt idx="30">
                  <c:v>16995</c:v>
                </c:pt>
                <c:pt idx="31">
                  <c:v>13900</c:v>
                </c:pt>
                <c:pt idx="32">
                  <c:v>15500</c:v>
                </c:pt>
                <c:pt idx="33">
                  <c:v>15995</c:v>
                </c:pt>
                <c:pt idx="34">
                  <c:v>19995</c:v>
                </c:pt>
                <c:pt idx="35">
                  <c:v>19995</c:v>
                </c:pt>
                <c:pt idx="36">
                  <c:v>12900</c:v>
                </c:pt>
                <c:pt idx="37">
                  <c:v>12950</c:v>
                </c:pt>
                <c:pt idx="38">
                  <c:v>14600</c:v>
                </c:pt>
                <c:pt idx="39">
                  <c:v>14700</c:v>
                </c:pt>
                <c:pt idx="40">
                  <c:v>17500</c:v>
                </c:pt>
                <c:pt idx="41">
                  <c:v>13985</c:v>
                </c:pt>
                <c:pt idx="42">
                  <c:v>17900</c:v>
                </c:pt>
                <c:pt idx="43">
                  <c:v>16000</c:v>
                </c:pt>
                <c:pt idx="44">
                  <c:v>15999</c:v>
                </c:pt>
                <c:pt idx="45">
                  <c:v>9999</c:v>
                </c:pt>
                <c:pt idx="46">
                  <c:v>14995</c:v>
                </c:pt>
                <c:pt idx="47">
                  <c:v>17000</c:v>
                </c:pt>
                <c:pt idx="48">
                  <c:v>22000</c:v>
                </c:pt>
                <c:pt idx="49">
                  <c:v>12500</c:v>
                </c:pt>
                <c:pt idx="50">
                  <c:v>19675</c:v>
                </c:pt>
                <c:pt idx="51">
                  <c:v>10995</c:v>
                </c:pt>
                <c:pt idx="52">
                  <c:v>17950</c:v>
                </c:pt>
                <c:pt idx="53">
                  <c:v>20901</c:v>
                </c:pt>
                <c:pt idx="54">
                  <c:v>13700</c:v>
                </c:pt>
                <c:pt idx="55">
                  <c:v>18950</c:v>
                </c:pt>
                <c:pt idx="56">
                  <c:v>13900</c:v>
                </c:pt>
                <c:pt idx="57">
                  <c:v>22500</c:v>
                </c:pt>
                <c:pt idx="58">
                  <c:v>18000</c:v>
                </c:pt>
                <c:pt idx="59">
                  <c:v>16999</c:v>
                </c:pt>
                <c:pt idx="60">
                  <c:v>16000</c:v>
                </c:pt>
                <c:pt idx="61">
                  <c:v>10999</c:v>
                </c:pt>
                <c:pt idx="62">
                  <c:v>7950</c:v>
                </c:pt>
                <c:pt idx="63">
                  <c:v>24999</c:v>
                </c:pt>
                <c:pt idx="64">
                  <c:v>29888</c:v>
                </c:pt>
                <c:pt idx="65">
                  <c:v>25500</c:v>
                </c:pt>
                <c:pt idx="66">
                  <c:v>35495</c:v>
                </c:pt>
                <c:pt idx="67">
                  <c:v>47938</c:v>
                </c:pt>
                <c:pt idx="68">
                  <c:v>2399</c:v>
                </c:pt>
                <c:pt idx="69">
                  <c:v>10995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1F4-93B3-2F3308947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42608"/>
        <c:axId val="433142968"/>
      </c:scatterChart>
      <c:scatterChart>
        <c:scatterStyle val="lineMarker"/>
        <c:varyColors val="0"/>
        <c:ser>
          <c:idx val="0"/>
          <c:order val="0"/>
          <c:tx>
            <c:strRef>
              <c:f>'Hyundai Santafe'!$I$1</c:f>
              <c:strCache>
                <c:ptCount val="1"/>
                <c:pt idx="0">
                  <c:v>Price/age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83392984967789"/>
                  <c:y val="2.81007582385535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Santafe'!$G$2:$G$71</c:f>
              <c:numCache>
                <c:formatCode>General</c:formatCode>
                <c:ptCount val="70"/>
                <c:pt idx="0">
                  <c:v>106000</c:v>
                </c:pt>
                <c:pt idx="1">
                  <c:v>177000</c:v>
                </c:pt>
                <c:pt idx="2">
                  <c:v>156000</c:v>
                </c:pt>
                <c:pt idx="3">
                  <c:v>157000</c:v>
                </c:pt>
                <c:pt idx="4">
                  <c:v>214000</c:v>
                </c:pt>
                <c:pt idx="5">
                  <c:v>172000</c:v>
                </c:pt>
                <c:pt idx="6">
                  <c:v>175000</c:v>
                </c:pt>
                <c:pt idx="7">
                  <c:v>67000</c:v>
                </c:pt>
                <c:pt idx="8">
                  <c:v>241000</c:v>
                </c:pt>
                <c:pt idx="9">
                  <c:v>75000</c:v>
                </c:pt>
                <c:pt idx="10">
                  <c:v>100000</c:v>
                </c:pt>
                <c:pt idx="11">
                  <c:v>183000</c:v>
                </c:pt>
                <c:pt idx="12">
                  <c:v>168000</c:v>
                </c:pt>
                <c:pt idx="13">
                  <c:v>245000</c:v>
                </c:pt>
                <c:pt idx="14">
                  <c:v>262000</c:v>
                </c:pt>
                <c:pt idx="15">
                  <c:v>166000</c:v>
                </c:pt>
                <c:pt idx="16">
                  <c:v>160000</c:v>
                </c:pt>
                <c:pt idx="17">
                  <c:v>10000</c:v>
                </c:pt>
                <c:pt idx="18">
                  <c:v>105000</c:v>
                </c:pt>
                <c:pt idx="19">
                  <c:v>3000</c:v>
                </c:pt>
                <c:pt idx="20">
                  <c:v>87000</c:v>
                </c:pt>
                <c:pt idx="21">
                  <c:v>223000</c:v>
                </c:pt>
                <c:pt idx="22">
                  <c:v>180000</c:v>
                </c:pt>
                <c:pt idx="23">
                  <c:v>140000</c:v>
                </c:pt>
                <c:pt idx="24">
                  <c:v>165000</c:v>
                </c:pt>
                <c:pt idx="25">
                  <c:v>176000</c:v>
                </c:pt>
                <c:pt idx="26">
                  <c:v>192000</c:v>
                </c:pt>
                <c:pt idx="27">
                  <c:v>108000</c:v>
                </c:pt>
                <c:pt idx="28">
                  <c:v>148000</c:v>
                </c:pt>
                <c:pt idx="29">
                  <c:v>176000</c:v>
                </c:pt>
                <c:pt idx="30">
                  <c:v>120000</c:v>
                </c:pt>
                <c:pt idx="31">
                  <c:v>180000</c:v>
                </c:pt>
                <c:pt idx="32">
                  <c:v>93000</c:v>
                </c:pt>
                <c:pt idx="33">
                  <c:v>135000</c:v>
                </c:pt>
                <c:pt idx="34">
                  <c:v>48000</c:v>
                </c:pt>
                <c:pt idx="35">
                  <c:v>48000</c:v>
                </c:pt>
                <c:pt idx="36">
                  <c:v>163000</c:v>
                </c:pt>
                <c:pt idx="37">
                  <c:v>149000</c:v>
                </c:pt>
                <c:pt idx="38">
                  <c:v>126000</c:v>
                </c:pt>
                <c:pt idx="39">
                  <c:v>109000</c:v>
                </c:pt>
                <c:pt idx="40">
                  <c:v>96000</c:v>
                </c:pt>
                <c:pt idx="41">
                  <c:v>132000</c:v>
                </c:pt>
                <c:pt idx="42">
                  <c:v>98000</c:v>
                </c:pt>
                <c:pt idx="43">
                  <c:v>106000</c:v>
                </c:pt>
                <c:pt idx="44">
                  <c:v>170000</c:v>
                </c:pt>
                <c:pt idx="45">
                  <c:v>238000</c:v>
                </c:pt>
                <c:pt idx="46">
                  <c:v>153000</c:v>
                </c:pt>
                <c:pt idx="47">
                  <c:v>94000</c:v>
                </c:pt>
                <c:pt idx="48">
                  <c:v>68000</c:v>
                </c:pt>
                <c:pt idx="49">
                  <c:v>194000</c:v>
                </c:pt>
                <c:pt idx="50">
                  <c:v>111000</c:v>
                </c:pt>
                <c:pt idx="51">
                  <c:v>211000</c:v>
                </c:pt>
                <c:pt idx="52">
                  <c:v>162000</c:v>
                </c:pt>
                <c:pt idx="53">
                  <c:v>108000</c:v>
                </c:pt>
                <c:pt idx="54">
                  <c:v>167000</c:v>
                </c:pt>
                <c:pt idx="55">
                  <c:v>144000</c:v>
                </c:pt>
                <c:pt idx="56">
                  <c:v>167000</c:v>
                </c:pt>
                <c:pt idx="57">
                  <c:v>65000</c:v>
                </c:pt>
                <c:pt idx="58">
                  <c:v>87000</c:v>
                </c:pt>
                <c:pt idx="59">
                  <c:v>124000</c:v>
                </c:pt>
                <c:pt idx="60">
                  <c:v>160000</c:v>
                </c:pt>
                <c:pt idx="61">
                  <c:v>246000</c:v>
                </c:pt>
                <c:pt idx="62">
                  <c:v>266000</c:v>
                </c:pt>
                <c:pt idx="63">
                  <c:v>52000</c:v>
                </c:pt>
                <c:pt idx="64">
                  <c:v>59000</c:v>
                </c:pt>
                <c:pt idx="65">
                  <c:v>132000</c:v>
                </c:pt>
                <c:pt idx="66">
                  <c:v>77000</c:v>
                </c:pt>
                <c:pt idx="67">
                  <c:v>300</c:v>
                </c:pt>
                <c:pt idx="68">
                  <c:v>361000</c:v>
                </c:pt>
                <c:pt idx="69">
                  <c:v>212200</c:v>
                </c:pt>
              </c:numCache>
            </c:numRef>
          </c:xVal>
          <c:yVal>
            <c:numRef>
              <c:f>'Hyundai Santafe'!$J$2:$J$71</c:f>
              <c:numCache>
                <c:formatCode>General</c:formatCode>
                <c:ptCount val="70"/>
                <c:pt idx="0">
                  <c:v>3</c:v>
                </c:pt>
                <c:pt idx="1">
                  <c:v>13</c:v>
                </c:pt>
                <c:pt idx="2">
                  <c:v>7</c:v>
                </c:pt>
                <c:pt idx="3">
                  <c:v>6</c:v>
                </c:pt>
                <c:pt idx="4">
                  <c:v>13</c:v>
                </c:pt>
                <c:pt idx="5">
                  <c:v>13</c:v>
                </c:pt>
                <c:pt idx="6">
                  <c:v>11</c:v>
                </c:pt>
                <c:pt idx="7">
                  <c:v>5</c:v>
                </c:pt>
                <c:pt idx="8">
                  <c:v>13</c:v>
                </c:pt>
                <c:pt idx="9">
                  <c:v>11</c:v>
                </c:pt>
                <c:pt idx="10">
                  <c:v>6</c:v>
                </c:pt>
                <c:pt idx="11">
                  <c:v>6</c:v>
                </c:pt>
                <c:pt idx="12">
                  <c:v>16</c:v>
                </c:pt>
                <c:pt idx="13">
                  <c:v>13</c:v>
                </c:pt>
                <c:pt idx="14">
                  <c:v>14</c:v>
                </c:pt>
                <c:pt idx="15">
                  <c:v>7</c:v>
                </c:pt>
                <c:pt idx="16">
                  <c:v>11</c:v>
                </c:pt>
                <c:pt idx="17">
                  <c:v>6</c:v>
                </c:pt>
                <c:pt idx="18">
                  <c:v>6</c:v>
                </c:pt>
                <c:pt idx="19">
                  <c:v>1</c:v>
                </c:pt>
                <c:pt idx="20">
                  <c:v>16</c:v>
                </c:pt>
                <c:pt idx="21">
                  <c:v>10</c:v>
                </c:pt>
                <c:pt idx="22">
                  <c:v>10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6</c:v>
                </c:pt>
                <c:pt idx="31">
                  <c:v>7</c:v>
                </c:pt>
                <c:pt idx="32">
                  <c:v>9</c:v>
                </c:pt>
                <c:pt idx="33">
                  <c:v>7</c:v>
                </c:pt>
                <c:pt idx="34">
                  <c:v>6</c:v>
                </c:pt>
                <c:pt idx="35">
                  <c:v>6</c:v>
                </c:pt>
                <c:pt idx="36">
                  <c:v>9</c:v>
                </c:pt>
                <c:pt idx="37">
                  <c:v>10</c:v>
                </c:pt>
                <c:pt idx="38">
                  <c:v>9</c:v>
                </c:pt>
                <c:pt idx="39">
                  <c:v>10</c:v>
                </c:pt>
                <c:pt idx="40">
                  <c:v>8</c:v>
                </c:pt>
                <c:pt idx="41">
                  <c:v>10</c:v>
                </c:pt>
                <c:pt idx="42">
                  <c:v>7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8</c:v>
                </c:pt>
                <c:pt idx="47">
                  <c:v>9</c:v>
                </c:pt>
                <c:pt idx="48">
                  <c:v>6</c:v>
                </c:pt>
                <c:pt idx="49">
                  <c:v>10</c:v>
                </c:pt>
                <c:pt idx="50">
                  <c:v>6</c:v>
                </c:pt>
                <c:pt idx="51">
                  <c:v>10</c:v>
                </c:pt>
                <c:pt idx="52">
                  <c:v>6</c:v>
                </c:pt>
                <c:pt idx="53">
                  <c:v>6</c:v>
                </c:pt>
                <c:pt idx="54">
                  <c:v>10</c:v>
                </c:pt>
                <c:pt idx="55">
                  <c:v>6</c:v>
                </c:pt>
                <c:pt idx="56">
                  <c:v>10</c:v>
                </c:pt>
                <c:pt idx="57">
                  <c:v>6</c:v>
                </c:pt>
                <c:pt idx="58">
                  <c:v>10</c:v>
                </c:pt>
                <c:pt idx="59">
                  <c:v>10</c:v>
                </c:pt>
                <c:pt idx="60">
                  <c:v>9</c:v>
                </c:pt>
                <c:pt idx="61">
                  <c:v>10</c:v>
                </c:pt>
                <c:pt idx="62">
                  <c:v>13</c:v>
                </c:pt>
                <c:pt idx="63">
                  <c:v>7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0.8</c:v>
                </c:pt>
                <c:pt idx="68">
                  <c:v>17</c:v>
                </c:pt>
                <c:pt idx="6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9D-41F4-93B3-2F3308947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1608"/>
        <c:axId val="433154848"/>
      </c:scatterChart>
      <c:valAx>
        <c:axId val="4331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968"/>
        <c:crosses val="autoZero"/>
        <c:crossBetween val="midCat"/>
      </c:valAx>
      <c:valAx>
        <c:axId val="43314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608"/>
        <c:crosses val="autoZero"/>
        <c:crossBetween val="midCat"/>
      </c:valAx>
      <c:valAx>
        <c:axId val="43315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1608"/>
        <c:crosses val="max"/>
        <c:crossBetween val="midCat"/>
      </c:valAx>
      <c:valAx>
        <c:axId val="4331516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484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'Hyundai Santafe'!$G$1</c:f>
              <c:strCache>
                <c:ptCount val="1"/>
                <c:pt idx="0">
                  <c:v>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0.44996172353455816"/>
                  <c:y val="-0.1674030329542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Santafe'!$J$2:$J$71</c:f>
              <c:numCache>
                <c:formatCode>General</c:formatCode>
                <c:ptCount val="70"/>
                <c:pt idx="0">
                  <c:v>3</c:v>
                </c:pt>
                <c:pt idx="1">
                  <c:v>13</c:v>
                </c:pt>
                <c:pt idx="2">
                  <c:v>7</c:v>
                </c:pt>
                <c:pt idx="3">
                  <c:v>6</c:v>
                </c:pt>
                <c:pt idx="4">
                  <c:v>13</c:v>
                </c:pt>
                <c:pt idx="5">
                  <c:v>13</c:v>
                </c:pt>
                <c:pt idx="6">
                  <c:v>11</c:v>
                </c:pt>
                <c:pt idx="7">
                  <c:v>5</c:v>
                </c:pt>
                <c:pt idx="8">
                  <c:v>13</c:v>
                </c:pt>
                <c:pt idx="9">
                  <c:v>11</c:v>
                </c:pt>
                <c:pt idx="10">
                  <c:v>6</c:v>
                </c:pt>
                <c:pt idx="11">
                  <c:v>6</c:v>
                </c:pt>
                <c:pt idx="12">
                  <c:v>16</c:v>
                </c:pt>
                <c:pt idx="13">
                  <c:v>13</c:v>
                </c:pt>
                <c:pt idx="14">
                  <c:v>14</c:v>
                </c:pt>
                <c:pt idx="15">
                  <c:v>7</c:v>
                </c:pt>
                <c:pt idx="16">
                  <c:v>11</c:v>
                </c:pt>
                <c:pt idx="17">
                  <c:v>6</c:v>
                </c:pt>
                <c:pt idx="18">
                  <c:v>6</c:v>
                </c:pt>
                <c:pt idx="19">
                  <c:v>1</c:v>
                </c:pt>
                <c:pt idx="20">
                  <c:v>16</c:v>
                </c:pt>
                <c:pt idx="21">
                  <c:v>10</c:v>
                </c:pt>
                <c:pt idx="22">
                  <c:v>10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6</c:v>
                </c:pt>
                <c:pt idx="31">
                  <c:v>7</c:v>
                </c:pt>
                <c:pt idx="32">
                  <c:v>9</c:v>
                </c:pt>
                <c:pt idx="33">
                  <c:v>7</c:v>
                </c:pt>
                <c:pt idx="34">
                  <c:v>6</c:v>
                </c:pt>
                <c:pt idx="35">
                  <c:v>6</c:v>
                </c:pt>
                <c:pt idx="36">
                  <c:v>9</c:v>
                </c:pt>
                <c:pt idx="37">
                  <c:v>10</c:v>
                </c:pt>
                <c:pt idx="38">
                  <c:v>9</c:v>
                </c:pt>
                <c:pt idx="39">
                  <c:v>10</c:v>
                </c:pt>
                <c:pt idx="40">
                  <c:v>8</c:v>
                </c:pt>
                <c:pt idx="41">
                  <c:v>10</c:v>
                </c:pt>
                <c:pt idx="42">
                  <c:v>7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8</c:v>
                </c:pt>
                <c:pt idx="47">
                  <c:v>9</c:v>
                </c:pt>
                <c:pt idx="48">
                  <c:v>6</c:v>
                </c:pt>
                <c:pt idx="49">
                  <c:v>10</c:v>
                </c:pt>
                <c:pt idx="50">
                  <c:v>6</c:v>
                </c:pt>
                <c:pt idx="51">
                  <c:v>10</c:v>
                </c:pt>
                <c:pt idx="52">
                  <c:v>6</c:v>
                </c:pt>
                <c:pt idx="53">
                  <c:v>6</c:v>
                </c:pt>
                <c:pt idx="54">
                  <c:v>10</c:v>
                </c:pt>
                <c:pt idx="55">
                  <c:v>6</c:v>
                </c:pt>
                <c:pt idx="56">
                  <c:v>10</c:v>
                </c:pt>
                <c:pt idx="57">
                  <c:v>6</c:v>
                </c:pt>
                <c:pt idx="58">
                  <c:v>10</c:v>
                </c:pt>
                <c:pt idx="59">
                  <c:v>10</c:v>
                </c:pt>
                <c:pt idx="60">
                  <c:v>9</c:v>
                </c:pt>
                <c:pt idx="61">
                  <c:v>10</c:v>
                </c:pt>
                <c:pt idx="62">
                  <c:v>13</c:v>
                </c:pt>
                <c:pt idx="63">
                  <c:v>7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0.8</c:v>
                </c:pt>
                <c:pt idx="68">
                  <c:v>17</c:v>
                </c:pt>
                <c:pt idx="69">
                  <c:v>10</c:v>
                </c:pt>
              </c:numCache>
            </c:numRef>
          </c:xVal>
          <c:yVal>
            <c:numRef>
              <c:f>'Hyundai Santafe'!$G$2:$G$71</c:f>
              <c:numCache>
                <c:formatCode>General</c:formatCode>
                <c:ptCount val="70"/>
                <c:pt idx="0">
                  <c:v>106000</c:v>
                </c:pt>
                <c:pt idx="1">
                  <c:v>177000</c:v>
                </c:pt>
                <c:pt idx="2">
                  <c:v>156000</c:v>
                </c:pt>
                <c:pt idx="3">
                  <c:v>157000</c:v>
                </c:pt>
                <c:pt idx="4">
                  <c:v>214000</c:v>
                </c:pt>
                <c:pt idx="5">
                  <c:v>172000</c:v>
                </c:pt>
                <c:pt idx="6">
                  <c:v>175000</c:v>
                </c:pt>
                <c:pt idx="7">
                  <c:v>67000</c:v>
                </c:pt>
                <c:pt idx="8">
                  <c:v>241000</c:v>
                </c:pt>
                <c:pt idx="9">
                  <c:v>75000</c:v>
                </c:pt>
                <c:pt idx="10">
                  <c:v>100000</c:v>
                </c:pt>
                <c:pt idx="11">
                  <c:v>183000</c:v>
                </c:pt>
                <c:pt idx="12">
                  <c:v>168000</c:v>
                </c:pt>
                <c:pt idx="13">
                  <c:v>245000</c:v>
                </c:pt>
                <c:pt idx="14">
                  <c:v>262000</c:v>
                </c:pt>
                <c:pt idx="15">
                  <c:v>166000</c:v>
                </c:pt>
                <c:pt idx="16">
                  <c:v>160000</c:v>
                </c:pt>
                <c:pt idx="17">
                  <c:v>10000</c:v>
                </c:pt>
                <c:pt idx="18">
                  <c:v>105000</c:v>
                </c:pt>
                <c:pt idx="19">
                  <c:v>3000</c:v>
                </c:pt>
                <c:pt idx="20">
                  <c:v>87000</c:v>
                </c:pt>
                <c:pt idx="21">
                  <c:v>223000</c:v>
                </c:pt>
                <c:pt idx="22">
                  <c:v>180000</c:v>
                </c:pt>
                <c:pt idx="23">
                  <c:v>140000</c:v>
                </c:pt>
                <c:pt idx="24">
                  <c:v>165000</c:v>
                </c:pt>
                <c:pt idx="25">
                  <c:v>176000</c:v>
                </c:pt>
                <c:pt idx="26">
                  <c:v>192000</c:v>
                </c:pt>
                <c:pt idx="27">
                  <c:v>108000</c:v>
                </c:pt>
                <c:pt idx="28">
                  <c:v>148000</c:v>
                </c:pt>
                <c:pt idx="29">
                  <c:v>176000</c:v>
                </c:pt>
                <c:pt idx="30">
                  <c:v>120000</c:v>
                </c:pt>
                <c:pt idx="31">
                  <c:v>180000</c:v>
                </c:pt>
                <c:pt idx="32">
                  <c:v>93000</c:v>
                </c:pt>
                <c:pt idx="33">
                  <c:v>135000</c:v>
                </c:pt>
                <c:pt idx="34">
                  <c:v>48000</c:v>
                </c:pt>
                <c:pt idx="35">
                  <c:v>48000</c:v>
                </c:pt>
                <c:pt idx="36">
                  <c:v>163000</c:v>
                </c:pt>
                <c:pt idx="37">
                  <c:v>149000</c:v>
                </c:pt>
                <c:pt idx="38">
                  <c:v>126000</c:v>
                </c:pt>
                <c:pt idx="39">
                  <c:v>109000</c:v>
                </c:pt>
                <c:pt idx="40">
                  <c:v>96000</c:v>
                </c:pt>
                <c:pt idx="41">
                  <c:v>132000</c:v>
                </c:pt>
                <c:pt idx="42">
                  <c:v>98000</c:v>
                </c:pt>
                <c:pt idx="43">
                  <c:v>106000</c:v>
                </c:pt>
                <c:pt idx="44">
                  <c:v>170000</c:v>
                </c:pt>
                <c:pt idx="45">
                  <c:v>238000</c:v>
                </c:pt>
                <c:pt idx="46">
                  <c:v>153000</c:v>
                </c:pt>
                <c:pt idx="47">
                  <c:v>94000</c:v>
                </c:pt>
                <c:pt idx="48">
                  <c:v>68000</c:v>
                </c:pt>
                <c:pt idx="49">
                  <c:v>194000</c:v>
                </c:pt>
                <c:pt idx="50">
                  <c:v>111000</c:v>
                </c:pt>
                <c:pt idx="51">
                  <c:v>211000</c:v>
                </c:pt>
                <c:pt idx="52">
                  <c:v>162000</c:v>
                </c:pt>
                <c:pt idx="53">
                  <c:v>108000</c:v>
                </c:pt>
                <c:pt idx="54">
                  <c:v>167000</c:v>
                </c:pt>
                <c:pt idx="55">
                  <c:v>144000</c:v>
                </c:pt>
                <c:pt idx="56">
                  <c:v>167000</c:v>
                </c:pt>
                <c:pt idx="57">
                  <c:v>65000</c:v>
                </c:pt>
                <c:pt idx="58">
                  <c:v>87000</c:v>
                </c:pt>
                <c:pt idx="59">
                  <c:v>124000</c:v>
                </c:pt>
                <c:pt idx="60">
                  <c:v>160000</c:v>
                </c:pt>
                <c:pt idx="61">
                  <c:v>246000</c:v>
                </c:pt>
                <c:pt idx="62">
                  <c:v>266000</c:v>
                </c:pt>
                <c:pt idx="63">
                  <c:v>52000</c:v>
                </c:pt>
                <c:pt idx="64">
                  <c:v>59000</c:v>
                </c:pt>
                <c:pt idx="65">
                  <c:v>132000</c:v>
                </c:pt>
                <c:pt idx="66">
                  <c:v>77000</c:v>
                </c:pt>
                <c:pt idx="67">
                  <c:v>300</c:v>
                </c:pt>
                <c:pt idx="68">
                  <c:v>361000</c:v>
                </c:pt>
                <c:pt idx="69">
                  <c:v>212200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D8-471A-8AC8-D3A1F3E60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38960"/>
        <c:axId val="773387432"/>
      </c:scatterChart>
      <c:valAx>
        <c:axId val="6547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87432"/>
        <c:crosses val="autoZero"/>
        <c:crossBetween val="midCat"/>
      </c:valAx>
      <c:valAx>
        <c:axId val="7733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'Honda CHR'!$H$1</c:f>
              <c:strCache>
                <c:ptCount val="1"/>
                <c:pt idx="0">
                  <c:v>price/mileage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2324878362536698"/>
                  <c:y val="-3.9161198600174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'Honda CHR'!$G$2:$G$123</c:f>
              <c:numCache>
                <c:formatCode>General</c:formatCode>
                <c:ptCount val="122"/>
                <c:pt idx="0">
                  <c:v>40000</c:v>
                </c:pt>
                <c:pt idx="1">
                  <c:v>16000</c:v>
                </c:pt>
                <c:pt idx="2">
                  <c:v>50000</c:v>
                </c:pt>
                <c:pt idx="3">
                  <c:v>192000</c:v>
                </c:pt>
                <c:pt idx="4">
                  <c:v>285000</c:v>
                </c:pt>
                <c:pt idx="5">
                  <c:v>227000</c:v>
                </c:pt>
                <c:pt idx="6">
                  <c:v>227000</c:v>
                </c:pt>
                <c:pt idx="7">
                  <c:v>213000</c:v>
                </c:pt>
                <c:pt idx="8">
                  <c:v>150000</c:v>
                </c:pt>
                <c:pt idx="9">
                  <c:v>127000</c:v>
                </c:pt>
                <c:pt idx="10">
                  <c:v>107000</c:v>
                </c:pt>
                <c:pt idx="11">
                  <c:v>100000</c:v>
                </c:pt>
                <c:pt idx="12">
                  <c:v>20000</c:v>
                </c:pt>
                <c:pt idx="13">
                  <c:v>130000</c:v>
                </c:pt>
                <c:pt idx="14">
                  <c:v>200000</c:v>
                </c:pt>
                <c:pt idx="15">
                  <c:v>155000</c:v>
                </c:pt>
                <c:pt idx="16">
                  <c:v>310000</c:v>
                </c:pt>
                <c:pt idx="17">
                  <c:v>101000</c:v>
                </c:pt>
                <c:pt idx="18">
                  <c:v>179000</c:v>
                </c:pt>
                <c:pt idx="19">
                  <c:v>179000</c:v>
                </c:pt>
                <c:pt idx="20">
                  <c:v>174000</c:v>
                </c:pt>
                <c:pt idx="21">
                  <c:v>318000</c:v>
                </c:pt>
                <c:pt idx="22">
                  <c:v>178000</c:v>
                </c:pt>
                <c:pt idx="23">
                  <c:v>170000</c:v>
                </c:pt>
                <c:pt idx="24">
                  <c:v>175000</c:v>
                </c:pt>
                <c:pt idx="25">
                  <c:v>179000</c:v>
                </c:pt>
                <c:pt idx="26">
                  <c:v>115000</c:v>
                </c:pt>
                <c:pt idx="27">
                  <c:v>172000</c:v>
                </c:pt>
                <c:pt idx="28">
                  <c:v>286000</c:v>
                </c:pt>
                <c:pt idx="29">
                  <c:v>300000</c:v>
                </c:pt>
                <c:pt idx="30">
                  <c:v>160000</c:v>
                </c:pt>
                <c:pt idx="31">
                  <c:v>280000</c:v>
                </c:pt>
                <c:pt idx="32">
                  <c:v>165000</c:v>
                </c:pt>
                <c:pt idx="33">
                  <c:v>98000</c:v>
                </c:pt>
                <c:pt idx="34">
                  <c:v>260000</c:v>
                </c:pt>
                <c:pt idx="35">
                  <c:v>67000</c:v>
                </c:pt>
                <c:pt idx="36">
                  <c:v>1000</c:v>
                </c:pt>
                <c:pt idx="37">
                  <c:v>178000</c:v>
                </c:pt>
                <c:pt idx="38">
                  <c:v>148000</c:v>
                </c:pt>
                <c:pt idx="39">
                  <c:v>187000</c:v>
                </c:pt>
                <c:pt idx="40">
                  <c:v>146000</c:v>
                </c:pt>
                <c:pt idx="41">
                  <c:v>152000</c:v>
                </c:pt>
                <c:pt idx="42">
                  <c:v>160000</c:v>
                </c:pt>
                <c:pt idx="43">
                  <c:v>166000</c:v>
                </c:pt>
                <c:pt idx="44">
                  <c:v>154000</c:v>
                </c:pt>
                <c:pt idx="45">
                  <c:v>225000</c:v>
                </c:pt>
                <c:pt idx="46">
                  <c:v>118000</c:v>
                </c:pt>
                <c:pt idx="47">
                  <c:v>180000</c:v>
                </c:pt>
                <c:pt idx="48">
                  <c:v>142000</c:v>
                </c:pt>
                <c:pt idx="49">
                  <c:v>200000</c:v>
                </c:pt>
                <c:pt idx="50">
                  <c:v>146000</c:v>
                </c:pt>
                <c:pt idx="51">
                  <c:v>310000</c:v>
                </c:pt>
                <c:pt idx="52">
                  <c:v>160000</c:v>
                </c:pt>
                <c:pt idx="53">
                  <c:v>104000</c:v>
                </c:pt>
                <c:pt idx="54">
                  <c:v>148000</c:v>
                </c:pt>
                <c:pt idx="55">
                  <c:v>112000</c:v>
                </c:pt>
                <c:pt idx="56">
                  <c:v>220000</c:v>
                </c:pt>
                <c:pt idx="57">
                  <c:v>153000</c:v>
                </c:pt>
                <c:pt idx="58">
                  <c:v>143000</c:v>
                </c:pt>
                <c:pt idx="59">
                  <c:v>200000</c:v>
                </c:pt>
                <c:pt idx="60">
                  <c:v>106000</c:v>
                </c:pt>
                <c:pt idx="61">
                  <c:v>88000</c:v>
                </c:pt>
                <c:pt idx="62">
                  <c:v>88000</c:v>
                </c:pt>
                <c:pt idx="63">
                  <c:v>69000</c:v>
                </c:pt>
                <c:pt idx="64">
                  <c:v>96000</c:v>
                </c:pt>
                <c:pt idx="65">
                  <c:v>129000</c:v>
                </c:pt>
                <c:pt idx="66">
                  <c:v>340000</c:v>
                </c:pt>
                <c:pt idx="67">
                  <c:v>295000</c:v>
                </c:pt>
                <c:pt idx="68">
                  <c:v>101000</c:v>
                </c:pt>
                <c:pt idx="69">
                  <c:v>150000</c:v>
                </c:pt>
                <c:pt idx="70">
                  <c:v>127000</c:v>
                </c:pt>
                <c:pt idx="71">
                  <c:v>160000</c:v>
                </c:pt>
                <c:pt idx="72">
                  <c:v>149000</c:v>
                </c:pt>
                <c:pt idx="73">
                  <c:v>119000</c:v>
                </c:pt>
                <c:pt idx="74">
                  <c:v>94000</c:v>
                </c:pt>
                <c:pt idx="75">
                  <c:v>182000</c:v>
                </c:pt>
                <c:pt idx="76">
                  <c:v>94000</c:v>
                </c:pt>
                <c:pt idx="77">
                  <c:v>94000</c:v>
                </c:pt>
                <c:pt idx="78">
                  <c:v>160000</c:v>
                </c:pt>
                <c:pt idx="79">
                  <c:v>142000</c:v>
                </c:pt>
                <c:pt idx="80">
                  <c:v>49000</c:v>
                </c:pt>
                <c:pt idx="81">
                  <c:v>120000</c:v>
                </c:pt>
                <c:pt idx="82">
                  <c:v>93000</c:v>
                </c:pt>
                <c:pt idx="83">
                  <c:v>113000</c:v>
                </c:pt>
                <c:pt idx="84">
                  <c:v>76000</c:v>
                </c:pt>
                <c:pt idx="85">
                  <c:v>78000</c:v>
                </c:pt>
                <c:pt idx="86">
                  <c:v>185000</c:v>
                </c:pt>
                <c:pt idx="87">
                  <c:v>390000</c:v>
                </c:pt>
                <c:pt idx="88">
                  <c:v>87000</c:v>
                </c:pt>
                <c:pt idx="89">
                  <c:v>78000</c:v>
                </c:pt>
                <c:pt idx="90">
                  <c:v>74000</c:v>
                </c:pt>
                <c:pt idx="91">
                  <c:v>45000</c:v>
                </c:pt>
                <c:pt idx="92">
                  <c:v>78000</c:v>
                </c:pt>
                <c:pt idx="93">
                  <c:v>155000</c:v>
                </c:pt>
                <c:pt idx="94">
                  <c:v>66000</c:v>
                </c:pt>
                <c:pt idx="95">
                  <c:v>111000</c:v>
                </c:pt>
                <c:pt idx="96">
                  <c:v>105000</c:v>
                </c:pt>
                <c:pt idx="97">
                  <c:v>300000</c:v>
                </c:pt>
                <c:pt idx="98">
                  <c:v>89000</c:v>
                </c:pt>
                <c:pt idx="99">
                  <c:v>109000</c:v>
                </c:pt>
                <c:pt idx="100">
                  <c:v>73000</c:v>
                </c:pt>
                <c:pt idx="101">
                  <c:v>97000</c:v>
                </c:pt>
                <c:pt idx="102">
                  <c:v>46000</c:v>
                </c:pt>
                <c:pt idx="103">
                  <c:v>67000</c:v>
                </c:pt>
                <c:pt idx="104">
                  <c:v>46000</c:v>
                </c:pt>
                <c:pt idx="105">
                  <c:v>86000</c:v>
                </c:pt>
                <c:pt idx="106">
                  <c:v>75000</c:v>
                </c:pt>
                <c:pt idx="107">
                  <c:v>55000</c:v>
                </c:pt>
                <c:pt idx="108">
                  <c:v>72000</c:v>
                </c:pt>
                <c:pt idx="109">
                  <c:v>72000</c:v>
                </c:pt>
                <c:pt idx="110">
                  <c:v>72000</c:v>
                </c:pt>
                <c:pt idx="111">
                  <c:v>43000</c:v>
                </c:pt>
                <c:pt idx="112">
                  <c:v>185000</c:v>
                </c:pt>
                <c:pt idx="113">
                  <c:v>68000</c:v>
                </c:pt>
                <c:pt idx="114">
                  <c:v>34000</c:v>
                </c:pt>
                <c:pt idx="115">
                  <c:v>16000</c:v>
                </c:pt>
                <c:pt idx="116">
                  <c:v>9000</c:v>
                </c:pt>
                <c:pt idx="117">
                  <c:v>27000</c:v>
                </c:pt>
                <c:pt idx="118">
                  <c:v>39000</c:v>
                </c:pt>
                <c:pt idx="119">
                  <c:v>60000</c:v>
                </c:pt>
                <c:pt idx="120">
                  <c:v>60000</c:v>
                </c:pt>
                <c:pt idx="121">
                  <c:v>14000</c:v>
                </c:pt>
              </c:numCache>
            </c:numRef>
          </c:xVal>
          <c:yVal>
            <c:numRef>
              <c:f>'Honda CHR'!$C$2:$C$123</c:f>
              <c:numCache>
                <c:formatCode>_(* #,##0_);_(* \(#,##0\);_(* "-"??_);_(@_)</c:formatCode>
                <c:ptCount val="122"/>
                <c:pt idx="0">
                  <c:v>730.4</c:v>
                </c:pt>
                <c:pt idx="1">
                  <c:v>792</c:v>
                </c:pt>
                <c:pt idx="2">
                  <c:v>5429.6</c:v>
                </c:pt>
                <c:pt idx="3">
                  <c:v>3650</c:v>
                </c:pt>
                <c:pt idx="4">
                  <c:v>3500</c:v>
                </c:pt>
                <c:pt idx="5">
                  <c:v>3995</c:v>
                </c:pt>
                <c:pt idx="6">
                  <c:v>4000</c:v>
                </c:pt>
                <c:pt idx="7">
                  <c:v>4750</c:v>
                </c:pt>
                <c:pt idx="8">
                  <c:v>5500</c:v>
                </c:pt>
                <c:pt idx="9">
                  <c:v>6900</c:v>
                </c:pt>
                <c:pt idx="10">
                  <c:v>8095</c:v>
                </c:pt>
                <c:pt idx="11">
                  <c:v>8900</c:v>
                </c:pt>
                <c:pt idx="12">
                  <c:v>11000</c:v>
                </c:pt>
                <c:pt idx="13">
                  <c:v>7999</c:v>
                </c:pt>
                <c:pt idx="14">
                  <c:v>6999</c:v>
                </c:pt>
                <c:pt idx="15">
                  <c:v>7500</c:v>
                </c:pt>
                <c:pt idx="16">
                  <c:v>5450</c:v>
                </c:pt>
                <c:pt idx="17">
                  <c:v>9400</c:v>
                </c:pt>
                <c:pt idx="18">
                  <c:v>7500</c:v>
                </c:pt>
                <c:pt idx="19">
                  <c:v>7995</c:v>
                </c:pt>
                <c:pt idx="20">
                  <c:v>7040</c:v>
                </c:pt>
                <c:pt idx="21">
                  <c:v>5770</c:v>
                </c:pt>
                <c:pt idx="22">
                  <c:v>8300</c:v>
                </c:pt>
                <c:pt idx="23">
                  <c:v>7900</c:v>
                </c:pt>
                <c:pt idx="24">
                  <c:v>8550</c:v>
                </c:pt>
                <c:pt idx="25">
                  <c:v>8500</c:v>
                </c:pt>
                <c:pt idx="26">
                  <c:v>9999</c:v>
                </c:pt>
                <c:pt idx="27">
                  <c:v>9300</c:v>
                </c:pt>
                <c:pt idx="28">
                  <c:v>7995</c:v>
                </c:pt>
                <c:pt idx="29">
                  <c:v>7400</c:v>
                </c:pt>
                <c:pt idx="30">
                  <c:v>9900</c:v>
                </c:pt>
                <c:pt idx="31">
                  <c:v>7999</c:v>
                </c:pt>
                <c:pt idx="32">
                  <c:v>10500</c:v>
                </c:pt>
                <c:pt idx="33">
                  <c:v>11000</c:v>
                </c:pt>
                <c:pt idx="34">
                  <c:v>8500</c:v>
                </c:pt>
                <c:pt idx="35">
                  <c:v>12495</c:v>
                </c:pt>
                <c:pt idx="36">
                  <c:v>14994</c:v>
                </c:pt>
                <c:pt idx="37">
                  <c:v>11495</c:v>
                </c:pt>
                <c:pt idx="38">
                  <c:v>12000</c:v>
                </c:pt>
                <c:pt idx="39">
                  <c:v>12150</c:v>
                </c:pt>
                <c:pt idx="40">
                  <c:v>13000</c:v>
                </c:pt>
                <c:pt idx="41">
                  <c:v>12000</c:v>
                </c:pt>
                <c:pt idx="42">
                  <c:v>13000</c:v>
                </c:pt>
                <c:pt idx="43">
                  <c:v>13000</c:v>
                </c:pt>
                <c:pt idx="44">
                  <c:v>13400</c:v>
                </c:pt>
                <c:pt idx="45">
                  <c:v>11999</c:v>
                </c:pt>
                <c:pt idx="46">
                  <c:v>14800</c:v>
                </c:pt>
                <c:pt idx="47">
                  <c:v>13000</c:v>
                </c:pt>
                <c:pt idx="48">
                  <c:v>14700</c:v>
                </c:pt>
                <c:pt idx="49">
                  <c:v>11000</c:v>
                </c:pt>
                <c:pt idx="50">
                  <c:v>14500</c:v>
                </c:pt>
                <c:pt idx="51">
                  <c:v>10000</c:v>
                </c:pt>
                <c:pt idx="52">
                  <c:v>14488</c:v>
                </c:pt>
                <c:pt idx="53">
                  <c:v>17995</c:v>
                </c:pt>
                <c:pt idx="54">
                  <c:v>13178</c:v>
                </c:pt>
                <c:pt idx="55">
                  <c:v>16995</c:v>
                </c:pt>
                <c:pt idx="56">
                  <c:v>14500</c:v>
                </c:pt>
                <c:pt idx="57">
                  <c:v>15599</c:v>
                </c:pt>
                <c:pt idx="58">
                  <c:v>16500</c:v>
                </c:pt>
                <c:pt idx="59">
                  <c:v>13112</c:v>
                </c:pt>
                <c:pt idx="60">
                  <c:v>17500</c:v>
                </c:pt>
                <c:pt idx="61">
                  <c:v>18295</c:v>
                </c:pt>
                <c:pt idx="62">
                  <c:v>18295</c:v>
                </c:pt>
                <c:pt idx="63">
                  <c:v>21450</c:v>
                </c:pt>
                <c:pt idx="64">
                  <c:v>18500</c:v>
                </c:pt>
                <c:pt idx="65">
                  <c:v>18000</c:v>
                </c:pt>
                <c:pt idx="66">
                  <c:v>8800</c:v>
                </c:pt>
                <c:pt idx="67">
                  <c:v>10560</c:v>
                </c:pt>
                <c:pt idx="68">
                  <c:v>19990</c:v>
                </c:pt>
                <c:pt idx="69">
                  <c:v>18999</c:v>
                </c:pt>
                <c:pt idx="70">
                  <c:v>18999</c:v>
                </c:pt>
                <c:pt idx="71">
                  <c:v>18500</c:v>
                </c:pt>
                <c:pt idx="72">
                  <c:v>18900</c:v>
                </c:pt>
                <c:pt idx="73">
                  <c:v>20000</c:v>
                </c:pt>
                <c:pt idx="74">
                  <c:v>20988</c:v>
                </c:pt>
                <c:pt idx="75">
                  <c:v>18995</c:v>
                </c:pt>
                <c:pt idx="76">
                  <c:v>21988</c:v>
                </c:pt>
                <c:pt idx="77">
                  <c:v>22249</c:v>
                </c:pt>
                <c:pt idx="78">
                  <c:v>19999</c:v>
                </c:pt>
                <c:pt idx="79">
                  <c:v>20888</c:v>
                </c:pt>
                <c:pt idx="80">
                  <c:v>25900</c:v>
                </c:pt>
                <c:pt idx="81">
                  <c:v>21995</c:v>
                </c:pt>
                <c:pt idx="82">
                  <c:v>24999</c:v>
                </c:pt>
                <c:pt idx="83">
                  <c:v>23545</c:v>
                </c:pt>
                <c:pt idx="84">
                  <c:v>24995</c:v>
                </c:pt>
                <c:pt idx="85">
                  <c:v>25000</c:v>
                </c:pt>
                <c:pt idx="86">
                  <c:v>22495</c:v>
                </c:pt>
                <c:pt idx="87">
                  <c:v>8800</c:v>
                </c:pt>
                <c:pt idx="88">
                  <c:v>24950</c:v>
                </c:pt>
                <c:pt idx="89">
                  <c:v>26500</c:v>
                </c:pt>
                <c:pt idx="90">
                  <c:v>25995</c:v>
                </c:pt>
                <c:pt idx="91">
                  <c:v>27865</c:v>
                </c:pt>
                <c:pt idx="92">
                  <c:v>27500</c:v>
                </c:pt>
                <c:pt idx="93">
                  <c:v>22900</c:v>
                </c:pt>
                <c:pt idx="94">
                  <c:v>27477</c:v>
                </c:pt>
                <c:pt idx="95">
                  <c:v>25950</c:v>
                </c:pt>
                <c:pt idx="96">
                  <c:v>26995</c:v>
                </c:pt>
                <c:pt idx="97">
                  <c:v>16999</c:v>
                </c:pt>
                <c:pt idx="98">
                  <c:v>27500</c:v>
                </c:pt>
                <c:pt idx="99">
                  <c:v>26200</c:v>
                </c:pt>
                <c:pt idx="100">
                  <c:v>28300</c:v>
                </c:pt>
                <c:pt idx="101">
                  <c:v>27995</c:v>
                </c:pt>
                <c:pt idx="102">
                  <c:v>30000</c:v>
                </c:pt>
                <c:pt idx="103">
                  <c:v>29495</c:v>
                </c:pt>
                <c:pt idx="104">
                  <c:v>30499</c:v>
                </c:pt>
                <c:pt idx="105">
                  <c:v>27999</c:v>
                </c:pt>
                <c:pt idx="106">
                  <c:v>30000</c:v>
                </c:pt>
                <c:pt idx="107">
                  <c:v>30495</c:v>
                </c:pt>
                <c:pt idx="108">
                  <c:v>29888</c:v>
                </c:pt>
                <c:pt idx="109">
                  <c:v>29888</c:v>
                </c:pt>
                <c:pt idx="110">
                  <c:v>29999</c:v>
                </c:pt>
                <c:pt idx="111">
                  <c:v>30988</c:v>
                </c:pt>
                <c:pt idx="112">
                  <c:v>26999</c:v>
                </c:pt>
                <c:pt idx="113">
                  <c:v>31950</c:v>
                </c:pt>
                <c:pt idx="114">
                  <c:v>34999</c:v>
                </c:pt>
                <c:pt idx="115">
                  <c:v>33995</c:v>
                </c:pt>
                <c:pt idx="116">
                  <c:v>34500</c:v>
                </c:pt>
                <c:pt idx="117">
                  <c:v>33990</c:v>
                </c:pt>
                <c:pt idx="118">
                  <c:v>35000</c:v>
                </c:pt>
                <c:pt idx="119">
                  <c:v>34499</c:v>
                </c:pt>
                <c:pt idx="120">
                  <c:v>34950</c:v>
                </c:pt>
                <c:pt idx="121">
                  <c:v>40800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59-495E-B760-8DD2655E6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42608"/>
        <c:axId val="433142968"/>
      </c:scatterChart>
      <c:scatterChart>
        <c:scatterStyle val="lineMarker"/>
        <c:varyColors val="0"/>
        <c:ser>
          <c:idx val="0"/>
          <c:order val="0"/>
          <c:tx>
            <c:strRef>
              <c:f>'Honda CHR'!$I$1</c:f>
              <c:strCache>
                <c:ptCount val="1"/>
                <c:pt idx="0">
                  <c:v>Price/age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83392984967789"/>
                  <c:y val="2.81007582385535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'Honda CHR'!$G$2:$G$123</c:f>
              <c:numCache>
                <c:formatCode>General</c:formatCode>
                <c:ptCount val="122"/>
                <c:pt idx="0">
                  <c:v>40000</c:v>
                </c:pt>
                <c:pt idx="1">
                  <c:v>16000</c:v>
                </c:pt>
                <c:pt idx="2">
                  <c:v>50000</c:v>
                </c:pt>
                <c:pt idx="3">
                  <c:v>192000</c:v>
                </c:pt>
                <c:pt idx="4">
                  <c:v>285000</c:v>
                </c:pt>
                <c:pt idx="5">
                  <c:v>227000</c:v>
                </c:pt>
                <c:pt idx="6">
                  <c:v>227000</c:v>
                </c:pt>
                <c:pt idx="7">
                  <c:v>213000</c:v>
                </c:pt>
                <c:pt idx="8">
                  <c:v>150000</c:v>
                </c:pt>
                <c:pt idx="9">
                  <c:v>127000</c:v>
                </c:pt>
                <c:pt idx="10">
                  <c:v>107000</c:v>
                </c:pt>
                <c:pt idx="11">
                  <c:v>100000</c:v>
                </c:pt>
                <c:pt idx="12">
                  <c:v>20000</c:v>
                </c:pt>
                <c:pt idx="13">
                  <c:v>130000</c:v>
                </c:pt>
                <c:pt idx="14">
                  <c:v>200000</c:v>
                </c:pt>
                <c:pt idx="15">
                  <c:v>155000</c:v>
                </c:pt>
                <c:pt idx="16">
                  <c:v>310000</c:v>
                </c:pt>
                <c:pt idx="17">
                  <c:v>101000</c:v>
                </c:pt>
                <c:pt idx="18">
                  <c:v>179000</c:v>
                </c:pt>
                <c:pt idx="19">
                  <c:v>179000</c:v>
                </c:pt>
                <c:pt idx="20">
                  <c:v>174000</c:v>
                </c:pt>
                <c:pt idx="21">
                  <c:v>318000</c:v>
                </c:pt>
                <c:pt idx="22">
                  <c:v>178000</c:v>
                </c:pt>
                <c:pt idx="23">
                  <c:v>170000</c:v>
                </c:pt>
                <c:pt idx="24">
                  <c:v>175000</c:v>
                </c:pt>
                <c:pt idx="25">
                  <c:v>179000</c:v>
                </c:pt>
                <c:pt idx="26">
                  <c:v>115000</c:v>
                </c:pt>
                <c:pt idx="27">
                  <c:v>172000</c:v>
                </c:pt>
                <c:pt idx="28">
                  <c:v>286000</c:v>
                </c:pt>
                <c:pt idx="29">
                  <c:v>300000</c:v>
                </c:pt>
                <c:pt idx="30">
                  <c:v>160000</c:v>
                </c:pt>
                <c:pt idx="31">
                  <c:v>280000</c:v>
                </c:pt>
                <c:pt idx="32">
                  <c:v>165000</c:v>
                </c:pt>
                <c:pt idx="33">
                  <c:v>98000</c:v>
                </c:pt>
                <c:pt idx="34">
                  <c:v>260000</c:v>
                </c:pt>
                <c:pt idx="35">
                  <c:v>67000</c:v>
                </c:pt>
                <c:pt idx="36">
                  <c:v>1000</c:v>
                </c:pt>
                <c:pt idx="37">
                  <c:v>178000</c:v>
                </c:pt>
                <c:pt idx="38">
                  <c:v>148000</c:v>
                </c:pt>
                <c:pt idx="39">
                  <c:v>187000</c:v>
                </c:pt>
                <c:pt idx="40">
                  <c:v>146000</c:v>
                </c:pt>
                <c:pt idx="41">
                  <c:v>152000</c:v>
                </c:pt>
                <c:pt idx="42">
                  <c:v>160000</c:v>
                </c:pt>
                <c:pt idx="43">
                  <c:v>166000</c:v>
                </c:pt>
                <c:pt idx="44">
                  <c:v>154000</c:v>
                </c:pt>
                <c:pt idx="45">
                  <c:v>225000</c:v>
                </c:pt>
                <c:pt idx="46">
                  <c:v>118000</c:v>
                </c:pt>
                <c:pt idx="47">
                  <c:v>180000</c:v>
                </c:pt>
                <c:pt idx="48">
                  <c:v>142000</c:v>
                </c:pt>
                <c:pt idx="49">
                  <c:v>200000</c:v>
                </c:pt>
                <c:pt idx="50">
                  <c:v>146000</c:v>
                </c:pt>
                <c:pt idx="51">
                  <c:v>310000</c:v>
                </c:pt>
                <c:pt idx="52">
                  <c:v>160000</c:v>
                </c:pt>
                <c:pt idx="53">
                  <c:v>104000</c:v>
                </c:pt>
                <c:pt idx="54">
                  <c:v>148000</c:v>
                </c:pt>
                <c:pt idx="55">
                  <c:v>112000</c:v>
                </c:pt>
                <c:pt idx="56">
                  <c:v>220000</c:v>
                </c:pt>
                <c:pt idx="57">
                  <c:v>153000</c:v>
                </c:pt>
                <c:pt idx="58">
                  <c:v>143000</c:v>
                </c:pt>
                <c:pt idx="59">
                  <c:v>200000</c:v>
                </c:pt>
                <c:pt idx="60">
                  <c:v>106000</c:v>
                </c:pt>
                <c:pt idx="61">
                  <c:v>88000</c:v>
                </c:pt>
                <c:pt idx="62">
                  <c:v>88000</c:v>
                </c:pt>
                <c:pt idx="63">
                  <c:v>69000</c:v>
                </c:pt>
                <c:pt idx="64">
                  <c:v>96000</c:v>
                </c:pt>
                <c:pt idx="65">
                  <c:v>129000</c:v>
                </c:pt>
                <c:pt idx="66">
                  <c:v>340000</c:v>
                </c:pt>
                <c:pt idx="67">
                  <c:v>295000</c:v>
                </c:pt>
                <c:pt idx="68">
                  <c:v>101000</c:v>
                </c:pt>
                <c:pt idx="69">
                  <c:v>150000</c:v>
                </c:pt>
                <c:pt idx="70">
                  <c:v>127000</c:v>
                </c:pt>
                <c:pt idx="71">
                  <c:v>160000</c:v>
                </c:pt>
                <c:pt idx="72">
                  <c:v>149000</c:v>
                </c:pt>
                <c:pt idx="73">
                  <c:v>119000</c:v>
                </c:pt>
                <c:pt idx="74">
                  <c:v>94000</c:v>
                </c:pt>
                <c:pt idx="75">
                  <c:v>182000</c:v>
                </c:pt>
                <c:pt idx="76">
                  <c:v>94000</c:v>
                </c:pt>
                <c:pt idx="77">
                  <c:v>94000</c:v>
                </c:pt>
                <c:pt idx="78">
                  <c:v>160000</c:v>
                </c:pt>
                <c:pt idx="79">
                  <c:v>142000</c:v>
                </c:pt>
                <c:pt idx="80">
                  <c:v>49000</c:v>
                </c:pt>
                <c:pt idx="81">
                  <c:v>120000</c:v>
                </c:pt>
                <c:pt idx="82">
                  <c:v>93000</c:v>
                </c:pt>
                <c:pt idx="83">
                  <c:v>113000</c:v>
                </c:pt>
                <c:pt idx="84">
                  <c:v>76000</c:v>
                </c:pt>
                <c:pt idx="85">
                  <c:v>78000</c:v>
                </c:pt>
                <c:pt idx="86">
                  <c:v>185000</c:v>
                </c:pt>
                <c:pt idx="87">
                  <c:v>390000</c:v>
                </c:pt>
                <c:pt idx="88">
                  <c:v>87000</c:v>
                </c:pt>
                <c:pt idx="89">
                  <c:v>78000</c:v>
                </c:pt>
                <c:pt idx="90">
                  <c:v>74000</c:v>
                </c:pt>
                <c:pt idx="91">
                  <c:v>45000</c:v>
                </c:pt>
                <c:pt idx="92">
                  <c:v>78000</c:v>
                </c:pt>
                <c:pt idx="93">
                  <c:v>155000</c:v>
                </c:pt>
                <c:pt idx="94">
                  <c:v>66000</c:v>
                </c:pt>
                <c:pt idx="95">
                  <c:v>111000</c:v>
                </c:pt>
                <c:pt idx="96">
                  <c:v>105000</c:v>
                </c:pt>
                <c:pt idx="97">
                  <c:v>300000</c:v>
                </c:pt>
                <c:pt idx="98">
                  <c:v>89000</c:v>
                </c:pt>
                <c:pt idx="99">
                  <c:v>109000</c:v>
                </c:pt>
                <c:pt idx="100">
                  <c:v>73000</c:v>
                </c:pt>
                <c:pt idx="101">
                  <c:v>97000</c:v>
                </c:pt>
                <c:pt idx="102">
                  <c:v>46000</c:v>
                </c:pt>
                <c:pt idx="103">
                  <c:v>67000</c:v>
                </c:pt>
                <c:pt idx="104">
                  <c:v>46000</c:v>
                </c:pt>
                <c:pt idx="105">
                  <c:v>86000</c:v>
                </c:pt>
                <c:pt idx="106">
                  <c:v>75000</c:v>
                </c:pt>
                <c:pt idx="107">
                  <c:v>55000</c:v>
                </c:pt>
                <c:pt idx="108">
                  <c:v>72000</c:v>
                </c:pt>
                <c:pt idx="109">
                  <c:v>72000</c:v>
                </c:pt>
                <c:pt idx="110">
                  <c:v>72000</c:v>
                </c:pt>
                <c:pt idx="111">
                  <c:v>43000</c:v>
                </c:pt>
                <c:pt idx="112">
                  <c:v>185000</c:v>
                </c:pt>
                <c:pt idx="113">
                  <c:v>68000</c:v>
                </c:pt>
                <c:pt idx="114">
                  <c:v>34000</c:v>
                </c:pt>
                <c:pt idx="115">
                  <c:v>16000</c:v>
                </c:pt>
                <c:pt idx="116">
                  <c:v>9000</c:v>
                </c:pt>
                <c:pt idx="117">
                  <c:v>27000</c:v>
                </c:pt>
                <c:pt idx="118">
                  <c:v>39000</c:v>
                </c:pt>
                <c:pt idx="119">
                  <c:v>60000</c:v>
                </c:pt>
                <c:pt idx="120">
                  <c:v>60000</c:v>
                </c:pt>
                <c:pt idx="121">
                  <c:v>14000</c:v>
                </c:pt>
              </c:numCache>
            </c:numRef>
          </c:xVal>
          <c:yVal>
            <c:numRef>
              <c:f>'Honda CHR'!$J$2:$J$123</c:f>
              <c:numCache>
                <c:formatCode>General</c:formatCode>
                <c:ptCount val="122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24</c:v>
                </c:pt>
                <c:pt idx="4">
                  <c:v>16</c:v>
                </c:pt>
                <c:pt idx="5">
                  <c:v>17</c:v>
                </c:pt>
                <c:pt idx="6">
                  <c:v>23</c:v>
                </c:pt>
                <c:pt idx="7">
                  <c:v>16</c:v>
                </c:pt>
                <c:pt idx="8">
                  <c:v>14</c:v>
                </c:pt>
                <c:pt idx="9">
                  <c:v>18</c:v>
                </c:pt>
                <c:pt idx="10">
                  <c:v>13</c:v>
                </c:pt>
                <c:pt idx="11">
                  <c:v>7</c:v>
                </c:pt>
                <c:pt idx="12">
                  <c:v>0.8</c:v>
                </c:pt>
                <c:pt idx="13">
                  <c:v>13</c:v>
                </c:pt>
                <c:pt idx="14">
                  <c:v>14</c:v>
                </c:pt>
                <c:pt idx="15">
                  <c:v>16</c:v>
                </c:pt>
                <c:pt idx="16">
                  <c:v>15</c:v>
                </c:pt>
                <c:pt idx="17">
                  <c:v>7</c:v>
                </c:pt>
                <c:pt idx="18">
                  <c:v>14</c:v>
                </c:pt>
                <c:pt idx="19">
                  <c:v>12</c:v>
                </c:pt>
                <c:pt idx="20">
                  <c:v>22</c:v>
                </c:pt>
                <c:pt idx="21">
                  <c:v>12</c:v>
                </c:pt>
                <c:pt idx="22">
                  <c:v>12</c:v>
                </c:pt>
                <c:pt idx="23">
                  <c:v>16</c:v>
                </c:pt>
                <c:pt idx="24">
                  <c:v>15</c:v>
                </c:pt>
                <c:pt idx="25">
                  <c:v>16</c:v>
                </c:pt>
                <c:pt idx="26">
                  <c:v>13</c:v>
                </c:pt>
                <c:pt idx="27">
                  <c:v>12</c:v>
                </c:pt>
                <c:pt idx="28">
                  <c:v>9</c:v>
                </c:pt>
                <c:pt idx="29">
                  <c:v>12</c:v>
                </c:pt>
                <c:pt idx="30">
                  <c:v>13</c:v>
                </c:pt>
                <c:pt idx="31">
                  <c:v>10</c:v>
                </c:pt>
                <c:pt idx="32">
                  <c:v>12</c:v>
                </c:pt>
                <c:pt idx="33">
                  <c:v>15</c:v>
                </c:pt>
                <c:pt idx="34">
                  <c:v>12</c:v>
                </c:pt>
                <c:pt idx="35">
                  <c:v>12</c:v>
                </c:pt>
                <c:pt idx="36">
                  <c:v>8</c:v>
                </c:pt>
                <c:pt idx="37">
                  <c:v>12</c:v>
                </c:pt>
                <c:pt idx="38">
                  <c:v>14</c:v>
                </c:pt>
                <c:pt idx="39">
                  <c:v>9</c:v>
                </c:pt>
                <c:pt idx="40">
                  <c:v>10</c:v>
                </c:pt>
                <c:pt idx="41">
                  <c:v>14</c:v>
                </c:pt>
                <c:pt idx="42">
                  <c:v>10</c:v>
                </c:pt>
                <c:pt idx="43">
                  <c:v>11</c:v>
                </c:pt>
                <c:pt idx="44">
                  <c:v>10</c:v>
                </c:pt>
                <c:pt idx="45">
                  <c:v>7</c:v>
                </c:pt>
                <c:pt idx="46">
                  <c:v>9</c:v>
                </c:pt>
                <c:pt idx="47">
                  <c:v>11</c:v>
                </c:pt>
                <c:pt idx="48">
                  <c:v>7</c:v>
                </c:pt>
                <c:pt idx="49">
                  <c:v>21</c:v>
                </c:pt>
                <c:pt idx="50">
                  <c:v>9</c:v>
                </c:pt>
                <c:pt idx="51">
                  <c:v>10</c:v>
                </c:pt>
                <c:pt idx="52">
                  <c:v>11</c:v>
                </c:pt>
                <c:pt idx="53">
                  <c:v>5</c:v>
                </c:pt>
                <c:pt idx="54">
                  <c:v>20</c:v>
                </c:pt>
                <c:pt idx="55">
                  <c:v>9</c:v>
                </c:pt>
                <c:pt idx="56">
                  <c:v>7</c:v>
                </c:pt>
                <c:pt idx="57">
                  <c:v>9</c:v>
                </c:pt>
                <c:pt idx="58">
                  <c:v>8</c:v>
                </c:pt>
                <c:pt idx="59">
                  <c:v>20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3</c:v>
                </c:pt>
                <c:pt idx="64">
                  <c:v>8</c:v>
                </c:pt>
                <c:pt idx="65">
                  <c:v>9</c:v>
                </c:pt>
                <c:pt idx="66">
                  <c:v>20</c:v>
                </c:pt>
                <c:pt idx="67">
                  <c:v>20</c:v>
                </c:pt>
                <c:pt idx="68">
                  <c:v>8</c:v>
                </c:pt>
                <c:pt idx="69">
                  <c:v>6</c:v>
                </c:pt>
                <c:pt idx="70">
                  <c:v>7</c:v>
                </c:pt>
                <c:pt idx="71">
                  <c:v>8</c:v>
                </c:pt>
                <c:pt idx="72">
                  <c:v>8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6</c:v>
                </c:pt>
                <c:pt idx="81">
                  <c:v>8</c:v>
                </c:pt>
                <c:pt idx="82">
                  <c:v>4</c:v>
                </c:pt>
                <c:pt idx="83">
                  <c:v>7</c:v>
                </c:pt>
                <c:pt idx="84">
                  <c:v>5</c:v>
                </c:pt>
                <c:pt idx="85">
                  <c:v>5</c:v>
                </c:pt>
                <c:pt idx="86">
                  <c:v>4</c:v>
                </c:pt>
                <c:pt idx="87">
                  <c:v>22</c:v>
                </c:pt>
                <c:pt idx="88">
                  <c:v>6</c:v>
                </c:pt>
                <c:pt idx="89">
                  <c:v>5</c:v>
                </c:pt>
                <c:pt idx="90">
                  <c:v>6</c:v>
                </c:pt>
                <c:pt idx="91">
                  <c:v>4</c:v>
                </c:pt>
                <c:pt idx="92">
                  <c:v>5</c:v>
                </c:pt>
                <c:pt idx="93">
                  <c:v>6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6</c:v>
                </c:pt>
                <c:pt idx="98">
                  <c:v>4</c:v>
                </c:pt>
                <c:pt idx="99">
                  <c:v>6</c:v>
                </c:pt>
                <c:pt idx="100">
                  <c:v>4</c:v>
                </c:pt>
                <c:pt idx="101">
                  <c:v>5</c:v>
                </c:pt>
                <c:pt idx="102">
                  <c:v>3</c:v>
                </c:pt>
                <c:pt idx="103">
                  <c:v>4</c:v>
                </c:pt>
                <c:pt idx="104">
                  <c:v>3</c:v>
                </c:pt>
                <c:pt idx="105">
                  <c:v>6</c:v>
                </c:pt>
                <c:pt idx="106">
                  <c:v>4</c:v>
                </c:pt>
                <c:pt idx="107">
                  <c:v>4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3</c:v>
                </c:pt>
                <c:pt idx="113">
                  <c:v>4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2</c:v>
                </c:pt>
                <c:pt idx="120">
                  <c:v>4</c:v>
                </c:pt>
                <c:pt idx="12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59-495E-B760-8DD2655E6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1608"/>
        <c:axId val="433154848"/>
      </c:scatterChart>
      <c:valAx>
        <c:axId val="4331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968"/>
        <c:crosses val="autoZero"/>
        <c:crossBetween val="midCat"/>
      </c:valAx>
      <c:valAx>
        <c:axId val="43314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608"/>
        <c:crosses val="autoZero"/>
        <c:crossBetween val="midCat"/>
      </c:valAx>
      <c:valAx>
        <c:axId val="43315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1608"/>
        <c:crosses val="max"/>
        <c:crossBetween val="midCat"/>
      </c:valAx>
      <c:valAx>
        <c:axId val="4331516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484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'Honda CHR'!$G$1</c:f>
              <c:strCache>
                <c:ptCount val="1"/>
                <c:pt idx="0">
                  <c:v>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0.44996172353455816"/>
                  <c:y val="-0.1674030329542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'Honda CHR'!$J$2:$J$123</c:f>
              <c:numCache>
                <c:formatCode>General</c:formatCode>
                <c:ptCount val="122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24</c:v>
                </c:pt>
                <c:pt idx="4">
                  <c:v>16</c:v>
                </c:pt>
                <c:pt idx="5">
                  <c:v>17</c:v>
                </c:pt>
                <c:pt idx="6">
                  <c:v>23</c:v>
                </c:pt>
                <c:pt idx="7">
                  <c:v>16</c:v>
                </c:pt>
                <c:pt idx="8">
                  <c:v>14</c:v>
                </c:pt>
                <c:pt idx="9">
                  <c:v>18</c:v>
                </c:pt>
                <c:pt idx="10">
                  <c:v>13</c:v>
                </c:pt>
                <c:pt idx="11">
                  <c:v>7</c:v>
                </c:pt>
                <c:pt idx="12">
                  <c:v>0.8</c:v>
                </c:pt>
                <c:pt idx="13">
                  <c:v>13</c:v>
                </c:pt>
                <c:pt idx="14">
                  <c:v>14</c:v>
                </c:pt>
                <c:pt idx="15">
                  <c:v>16</c:v>
                </c:pt>
                <c:pt idx="16">
                  <c:v>15</c:v>
                </c:pt>
                <c:pt idx="17">
                  <c:v>7</c:v>
                </c:pt>
                <c:pt idx="18">
                  <c:v>14</c:v>
                </c:pt>
                <c:pt idx="19">
                  <c:v>12</c:v>
                </c:pt>
                <c:pt idx="20">
                  <c:v>22</c:v>
                </c:pt>
                <c:pt idx="21">
                  <c:v>12</c:v>
                </c:pt>
                <c:pt idx="22">
                  <c:v>12</c:v>
                </c:pt>
                <c:pt idx="23">
                  <c:v>16</c:v>
                </c:pt>
                <c:pt idx="24">
                  <c:v>15</c:v>
                </c:pt>
                <c:pt idx="25">
                  <c:v>16</c:v>
                </c:pt>
                <c:pt idx="26">
                  <c:v>13</c:v>
                </c:pt>
                <c:pt idx="27">
                  <c:v>12</c:v>
                </c:pt>
                <c:pt idx="28">
                  <c:v>9</c:v>
                </c:pt>
                <c:pt idx="29">
                  <c:v>12</c:v>
                </c:pt>
                <c:pt idx="30">
                  <c:v>13</c:v>
                </c:pt>
                <c:pt idx="31">
                  <c:v>10</c:v>
                </c:pt>
                <c:pt idx="32">
                  <c:v>12</c:v>
                </c:pt>
                <c:pt idx="33">
                  <c:v>15</c:v>
                </c:pt>
                <c:pt idx="34">
                  <c:v>12</c:v>
                </c:pt>
                <c:pt idx="35">
                  <c:v>12</c:v>
                </c:pt>
                <c:pt idx="36">
                  <c:v>8</c:v>
                </c:pt>
                <c:pt idx="37">
                  <c:v>12</c:v>
                </c:pt>
                <c:pt idx="38">
                  <c:v>14</c:v>
                </c:pt>
                <c:pt idx="39">
                  <c:v>9</c:v>
                </c:pt>
                <c:pt idx="40">
                  <c:v>10</c:v>
                </c:pt>
                <c:pt idx="41">
                  <c:v>14</c:v>
                </c:pt>
                <c:pt idx="42">
                  <c:v>10</c:v>
                </c:pt>
                <c:pt idx="43">
                  <c:v>11</c:v>
                </c:pt>
                <c:pt idx="44">
                  <c:v>10</c:v>
                </c:pt>
                <c:pt idx="45">
                  <c:v>7</c:v>
                </c:pt>
                <c:pt idx="46">
                  <c:v>9</c:v>
                </c:pt>
                <c:pt idx="47">
                  <c:v>11</c:v>
                </c:pt>
                <c:pt idx="48">
                  <c:v>7</c:v>
                </c:pt>
                <c:pt idx="49">
                  <c:v>21</c:v>
                </c:pt>
                <c:pt idx="50">
                  <c:v>9</c:v>
                </c:pt>
                <c:pt idx="51">
                  <c:v>10</c:v>
                </c:pt>
                <c:pt idx="52">
                  <c:v>11</c:v>
                </c:pt>
                <c:pt idx="53">
                  <c:v>5</c:v>
                </c:pt>
                <c:pt idx="54">
                  <c:v>20</c:v>
                </c:pt>
                <c:pt idx="55">
                  <c:v>9</c:v>
                </c:pt>
                <c:pt idx="56">
                  <c:v>7</c:v>
                </c:pt>
                <c:pt idx="57">
                  <c:v>9</c:v>
                </c:pt>
                <c:pt idx="58">
                  <c:v>8</c:v>
                </c:pt>
                <c:pt idx="59">
                  <c:v>20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3</c:v>
                </c:pt>
                <c:pt idx="64">
                  <c:v>8</c:v>
                </c:pt>
                <c:pt idx="65">
                  <c:v>9</c:v>
                </c:pt>
                <c:pt idx="66">
                  <c:v>20</c:v>
                </c:pt>
                <c:pt idx="67">
                  <c:v>20</c:v>
                </c:pt>
                <c:pt idx="68">
                  <c:v>8</c:v>
                </c:pt>
                <c:pt idx="69">
                  <c:v>6</c:v>
                </c:pt>
                <c:pt idx="70">
                  <c:v>7</c:v>
                </c:pt>
                <c:pt idx="71">
                  <c:v>8</c:v>
                </c:pt>
                <c:pt idx="72">
                  <c:v>8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6</c:v>
                </c:pt>
                <c:pt idx="81">
                  <c:v>8</c:v>
                </c:pt>
                <c:pt idx="82">
                  <c:v>4</c:v>
                </c:pt>
                <c:pt idx="83">
                  <c:v>7</c:v>
                </c:pt>
                <c:pt idx="84">
                  <c:v>5</c:v>
                </c:pt>
                <c:pt idx="85">
                  <c:v>5</c:v>
                </c:pt>
                <c:pt idx="86">
                  <c:v>4</c:v>
                </c:pt>
                <c:pt idx="87">
                  <c:v>22</c:v>
                </c:pt>
                <c:pt idx="88">
                  <c:v>6</c:v>
                </c:pt>
                <c:pt idx="89">
                  <c:v>5</c:v>
                </c:pt>
                <c:pt idx="90">
                  <c:v>6</c:v>
                </c:pt>
                <c:pt idx="91">
                  <c:v>4</c:v>
                </c:pt>
                <c:pt idx="92">
                  <c:v>5</c:v>
                </c:pt>
                <c:pt idx="93">
                  <c:v>6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6</c:v>
                </c:pt>
                <c:pt idx="98">
                  <c:v>4</c:v>
                </c:pt>
                <c:pt idx="99">
                  <c:v>6</c:v>
                </c:pt>
                <c:pt idx="100">
                  <c:v>4</c:v>
                </c:pt>
                <c:pt idx="101">
                  <c:v>5</c:v>
                </c:pt>
                <c:pt idx="102">
                  <c:v>3</c:v>
                </c:pt>
                <c:pt idx="103">
                  <c:v>4</c:v>
                </c:pt>
                <c:pt idx="104">
                  <c:v>3</c:v>
                </c:pt>
                <c:pt idx="105">
                  <c:v>6</c:v>
                </c:pt>
                <c:pt idx="106">
                  <c:v>4</c:v>
                </c:pt>
                <c:pt idx="107">
                  <c:v>4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3</c:v>
                </c:pt>
                <c:pt idx="113">
                  <c:v>4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2</c:v>
                </c:pt>
                <c:pt idx="120">
                  <c:v>4</c:v>
                </c:pt>
                <c:pt idx="121">
                  <c:v>2</c:v>
                </c:pt>
              </c:numCache>
            </c:numRef>
          </c:xVal>
          <c:yVal>
            <c:numRef>
              <c:f>'Honda CHR'!$G$2:$G$123</c:f>
              <c:numCache>
                <c:formatCode>General</c:formatCode>
                <c:ptCount val="122"/>
                <c:pt idx="0">
                  <c:v>40000</c:v>
                </c:pt>
                <c:pt idx="1">
                  <c:v>16000</c:v>
                </c:pt>
                <c:pt idx="2">
                  <c:v>50000</c:v>
                </c:pt>
                <c:pt idx="3">
                  <c:v>192000</c:v>
                </c:pt>
                <c:pt idx="4">
                  <c:v>285000</c:v>
                </c:pt>
                <c:pt idx="5">
                  <c:v>227000</c:v>
                </c:pt>
                <c:pt idx="6">
                  <c:v>227000</c:v>
                </c:pt>
                <c:pt idx="7">
                  <c:v>213000</c:v>
                </c:pt>
                <c:pt idx="8">
                  <c:v>150000</c:v>
                </c:pt>
                <c:pt idx="9">
                  <c:v>127000</c:v>
                </c:pt>
                <c:pt idx="10">
                  <c:v>107000</c:v>
                </c:pt>
                <c:pt idx="11">
                  <c:v>100000</c:v>
                </c:pt>
                <c:pt idx="12">
                  <c:v>20000</c:v>
                </c:pt>
                <c:pt idx="13">
                  <c:v>130000</c:v>
                </c:pt>
                <c:pt idx="14">
                  <c:v>200000</c:v>
                </c:pt>
                <c:pt idx="15">
                  <c:v>155000</c:v>
                </c:pt>
                <c:pt idx="16">
                  <c:v>310000</c:v>
                </c:pt>
                <c:pt idx="17">
                  <c:v>101000</c:v>
                </c:pt>
                <c:pt idx="18">
                  <c:v>179000</c:v>
                </c:pt>
                <c:pt idx="19">
                  <c:v>179000</c:v>
                </c:pt>
                <c:pt idx="20">
                  <c:v>174000</c:v>
                </c:pt>
                <c:pt idx="21">
                  <c:v>318000</c:v>
                </c:pt>
                <c:pt idx="22">
                  <c:v>178000</c:v>
                </c:pt>
                <c:pt idx="23">
                  <c:v>170000</c:v>
                </c:pt>
                <c:pt idx="24">
                  <c:v>175000</c:v>
                </c:pt>
                <c:pt idx="25">
                  <c:v>179000</c:v>
                </c:pt>
                <c:pt idx="26">
                  <c:v>115000</c:v>
                </c:pt>
                <c:pt idx="27">
                  <c:v>172000</c:v>
                </c:pt>
                <c:pt idx="28">
                  <c:v>286000</c:v>
                </c:pt>
                <c:pt idx="29">
                  <c:v>300000</c:v>
                </c:pt>
                <c:pt idx="30">
                  <c:v>160000</c:v>
                </c:pt>
                <c:pt idx="31">
                  <c:v>280000</c:v>
                </c:pt>
                <c:pt idx="32">
                  <c:v>165000</c:v>
                </c:pt>
                <c:pt idx="33">
                  <c:v>98000</c:v>
                </c:pt>
                <c:pt idx="34">
                  <c:v>260000</c:v>
                </c:pt>
                <c:pt idx="35">
                  <c:v>67000</c:v>
                </c:pt>
                <c:pt idx="36">
                  <c:v>1000</c:v>
                </c:pt>
                <c:pt idx="37">
                  <c:v>178000</c:v>
                </c:pt>
                <c:pt idx="38">
                  <c:v>148000</c:v>
                </c:pt>
                <c:pt idx="39">
                  <c:v>187000</c:v>
                </c:pt>
                <c:pt idx="40">
                  <c:v>146000</c:v>
                </c:pt>
                <c:pt idx="41">
                  <c:v>152000</c:v>
                </c:pt>
                <c:pt idx="42">
                  <c:v>160000</c:v>
                </c:pt>
                <c:pt idx="43">
                  <c:v>166000</c:v>
                </c:pt>
                <c:pt idx="44">
                  <c:v>154000</c:v>
                </c:pt>
                <c:pt idx="45">
                  <c:v>225000</c:v>
                </c:pt>
                <c:pt idx="46">
                  <c:v>118000</c:v>
                </c:pt>
                <c:pt idx="47">
                  <c:v>180000</c:v>
                </c:pt>
                <c:pt idx="48">
                  <c:v>142000</c:v>
                </c:pt>
                <c:pt idx="49">
                  <c:v>200000</c:v>
                </c:pt>
                <c:pt idx="50">
                  <c:v>146000</c:v>
                </c:pt>
                <c:pt idx="51">
                  <c:v>310000</c:v>
                </c:pt>
                <c:pt idx="52">
                  <c:v>160000</c:v>
                </c:pt>
                <c:pt idx="53">
                  <c:v>104000</c:v>
                </c:pt>
                <c:pt idx="54">
                  <c:v>148000</c:v>
                </c:pt>
                <c:pt idx="55">
                  <c:v>112000</c:v>
                </c:pt>
                <c:pt idx="56">
                  <c:v>220000</c:v>
                </c:pt>
                <c:pt idx="57">
                  <c:v>153000</c:v>
                </c:pt>
                <c:pt idx="58">
                  <c:v>143000</c:v>
                </c:pt>
                <c:pt idx="59">
                  <c:v>200000</c:v>
                </c:pt>
                <c:pt idx="60">
                  <c:v>106000</c:v>
                </c:pt>
                <c:pt idx="61">
                  <c:v>88000</c:v>
                </c:pt>
                <c:pt idx="62">
                  <c:v>88000</c:v>
                </c:pt>
                <c:pt idx="63">
                  <c:v>69000</c:v>
                </c:pt>
                <c:pt idx="64">
                  <c:v>96000</c:v>
                </c:pt>
                <c:pt idx="65">
                  <c:v>129000</c:v>
                </c:pt>
                <c:pt idx="66">
                  <c:v>340000</c:v>
                </c:pt>
                <c:pt idx="67">
                  <c:v>295000</c:v>
                </c:pt>
                <c:pt idx="68">
                  <c:v>101000</c:v>
                </c:pt>
                <c:pt idx="69">
                  <c:v>150000</c:v>
                </c:pt>
                <c:pt idx="70">
                  <c:v>127000</c:v>
                </c:pt>
                <c:pt idx="71">
                  <c:v>160000</c:v>
                </c:pt>
                <c:pt idx="72">
                  <c:v>149000</c:v>
                </c:pt>
                <c:pt idx="73">
                  <c:v>119000</c:v>
                </c:pt>
                <c:pt idx="74">
                  <c:v>94000</c:v>
                </c:pt>
                <c:pt idx="75">
                  <c:v>182000</c:v>
                </c:pt>
                <c:pt idx="76">
                  <c:v>94000</c:v>
                </c:pt>
                <c:pt idx="77">
                  <c:v>94000</c:v>
                </c:pt>
                <c:pt idx="78">
                  <c:v>160000</c:v>
                </c:pt>
                <c:pt idx="79">
                  <c:v>142000</c:v>
                </c:pt>
                <c:pt idx="80">
                  <c:v>49000</c:v>
                </c:pt>
                <c:pt idx="81">
                  <c:v>120000</c:v>
                </c:pt>
                <c:pt idx="82">
                  <c:v>93000</c:v>
                </c:pt>
                <c:pt idx="83">
                  <c:v>113000</c:v>
                </c:pt>
                <c:pt idx="84">
                  <c:v>76000</c:v>
                </c:pt>
                <c:pt idx="85">
                  <c:v>78000</c:v>
                </c:pt>
                <c:pt idx="86">
                  <c:v>185000</c:v>
                </c:pt>
                <c:pt idx="87">
                  <c:v>390000</c:v>
                </c:pt>
                <c:pt idx="88">
                  <c:v>87000</c:v>
                </c:pt>
                <c:pt idx="89">
                  <c:v>78000</c:v>
                </c:pt>
                <c:pt idx="90">
                  <c:v>74000</c:v>
                </c:pt>
                <c:pt idx="91">
                  <c:v>45000</c:v>
                </c:pt>
                <c:pt idx="92">
                  <c:v>78000</c:v>
                </c:pt>
                <c:pt idx="93">
                  <c:v>155000</c:v>
                </c:pt>
                <c:pt idx="94">
                  <c:v>66000</c:v>
                </c:pt>
                <c:pt idx="95">
                  <c:v>111000</c:v>
                </c:pt>
                <c:pt idx="96">
                  <c:v>105000</c:v>
                </c:pt>
                <c:pt idx="97">
                  <c:v>300000</c:v>
                </c:pt>
                <c:pt idx="98">
                  <c:v>89000</c:v>
                </c:pt>
                <c:pt idx="99">
                  <c:v>109000</c:v>
                </c:pt>
                <c:pt idx="100">
                  <c:v>73000</c:v>
                </c:pt>
                <c:pt idx="101">
                  <c:v>97000</c:v>
                </c:pt>
                <c:pt idx="102">
                  <c:v>46000</c:v>
                </c:pt>
                <c:pt idx="103">
                  <c:v>67000</c:v>
                </c:pt>
                <c:pt idx="104">
                  <c:v>46000</c:v>
                </c:pt>
                <c:pt idx="105">
                  <c:v>86000</c:v>
                </c:pt>
                <c:pt idx="106">
                  <c:v>75000</c:v>
                </c:pt>
                <c:pt idx="107">
                  <c:v>55000</c:v>
                </c:pt>
                <c:pt idx="108">
                  <c:v>72000</c:v>
                </c:pt>
                <c:pt idx="109">
                  <c:v>72000</c:v>
                </c:pt>
                <c:pt idx="110">
                  <c:v>72000</c:v>
                </c:pt>
                <c:pt idx="111">
                  <c:v>43000</c:v>
                </c:pt>
                <c:pt idx="112">
                  <c:v>185000</c:v>
                </c:pt>
                <c:pt idx="113">
                  <c:v>68000</c:v>
                </c:pt>
                <c:pt idx="114">
                  <c:v>34000</c:v>
                </c:pt>
                <c:pt idx="115">
                  <c:v>16000</c:v>
                </c:pt>
                <c:pt idx="116">
                  <c:v>9000</c:v>
                </c:pt>
                <c:pt idx="117">
                  <c:v>27000</c:v>
                </c:pt>
                <c:pt idx="118">
                  <c:v>39000</c:v>
                </c:pt>
                <c:pt idx="119">
                  <c:v>60000</c:v>
                </c:pt>
                <c:pt idx="120">
                  <c:v>60000</c:v>
                </c:pt>
                <c:pt idx="121">
                  <c:v>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02-4FCB-9B7B-6446908A0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38960"/>
        <c:axId val="773387432"/>
      </c:scatterChart>
      <c:valAx>
        <c:axId val="6547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87432"/>
        <c:crosses val="autoZero"/>
        <c:crossBetween val="midCat"/>
      </c:valAx>
      <c:valAx>
        <c:axId val="7733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'RAV4'!$H$1</c:f>
              <c:strCache>
                <c:ptCount val="1"/>
                <c:pt idx="0">
                  <c:v>price/mileage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51056032995051148"/>
                  <c:y val="-0.356678696412948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'RAV4'!$G$2:$G$137</c:f>
              <c:numCache>
                <c:formatCode>General</c:formatCode>
                <c:ptCount val="136"/>
                <c:pt idx="0">
                  <c:v>2000</c:v>
                </c:pt>
                <c:pt idx="1">
                  <c:v>43000</c:v>
                </c:pt>
                <c:pt idx="2">
                  <c:v>35000</c:v>
                </c:pt>
                <c:pt idx="3">
                  <c:v>112000</c:v>
                </c:pt>
                <c:pt idx="4">
                  <c:v>92000</c:v>
                </c:pt>
                <c:pt idx="5">
                  <c:v>104000</c:v>
                </c:pt>
                <c:pt idx="6">
                  <c:v>183000</c:v>
                </c:pt>
                <c:pt idx="7">
                  <c:v>32000</c:v>
                </c:pt>
                <c:pt idx="8">
                  <c:v>40000</c:v>
                </c:pt>
                <c:pt idx="9">
                  <c:v>36000</c:v>
                </c:pt>
                <c:pt idx="10">
                  <c:v>42000</c:v>
                </c:pt>
                <c:pt idx="11">
                  <c:v>177000</c:v>
                </c:pt>
                <c:pt idx="12">
                  <c:v>69000</c:v>
                </c:pt>
                <c:pt idx="13">
                  <c:v>136000</c:v>
                </c:pt>
                <c:pt idx="14">
                  <c:v>161000</c:v>
                </c:pt>
                <c:pt idx="15">
                  <c:v>207000</c:v>
                </c:pt>
                <c:pt idx="16">
                  <c:v>172000</c:v>
                </c:pt>
                <c:pt idx="17">
                  <c:v>215000</c:v>
                </c:pt>
                <c:pt idx="18">
                  <c:v>105000</c:v>
                </c:pt>
                <c:pt idx="19">
                  <c:v>159000</c:v>
                </c:pt>
                <c:pt idx="20">
                  <c:v>184000</c:v>
                </c:pt>
                <c:pt idx="21">
                  <c:v>154000</c:v>
                </c:pt>
                <c:pt idx="22">
                  <c:v>162000</c:v>
                </c:pt>
                <c:pt idx="23">
                  <c:v>26000</c:v>
                </c:pt>
                <c:pt idx="24">
                  <c:v>263000</c:v>
                </c:pt>
                <c:pt idx="25">
                  <c:v>203000</c:v>
                </c:pt>
                <c:pt idx="26">
                  <c:v>182000</c:v>
                </c:pt>
                <c:pt idx="27">
                  <c:v>40000</c:v>
                </c:pt>
                <c:pt idx="28">
                  <c:v>196000</c:v>
                </c:pt>
                <c:pt idx="29">
                  <c:v>128000</c:v>
                </c:pt>
                <c:pt idx="30">
                  <c:v>122000</c:v>
                </c:pt>
                <c:pt idx="31">
                  <c:v>146000</c:v>
                </c:pt>
                <c:pt idx="32">
                  <c:v>150000</c:v>
                </c:pt>
                <c:pt idx="33">
                  <c:v>92000</c:v>
                </c:pt>
                <c:pt idx="34">
                  <c:v>6000</c:v>
                </c:pt>
                <c:pt idx="35">
                  <c:v>198000</c:v>
                </c:pt>
                <c:pt idx="36">
                  <c:v>158000</c:v>
                </c:pt>
                <c:pt idx="37">
                  <c:v>125000</c:v>
                </c:pt>
                <c:pt idx="38">
                  <c:v>110000</c:v>
                </c:pt>
                <c:pt idx="39">
                  <c:v>188000</c:v>
                </c:pt>
                <c:pt idx="40">
                  <c:v>72000</c:v>
                </c:pt>
                <c:pt idx="41">
                  <c:v>187000</c:v>
                </c:pt>
                <c:pt idx="42">
                  <c:v>118000</c:v>
                </c:pt>
                <c:pt idx="43">
                  <c:v>135000</c:v>
                </c:pt>
                <c:pt idx="44">
                  <c:v>105000</c:v>
                </c:pt>
                <c:pt idx="45">
                  <c:v>4000</c:v>
                </c:pt>
                <c:pt idx="46">
                  <c:v>167000</c:v>
                </c:pt>
                <c:pt idx="47">
                  <c:v>59000</c:v>
                </c:pt>
                <c:pt idx="48">
                  <c:v>48000</c:v>
                </c:pt>
                <c:pt idx="49">
                  <c:v>160000</c:v>
                </c:pt>
                <c:pt idx="50">
                  <c:v>43000</c:v>
                </c:pt>
                <c:pt idx="51">
                  <c:v>53000</c:v>
                </c:pt>
                <c:pt idx="52">
                  <c:v>64000</c:v>
                </c:pt>
                <c:pt idx="53">
                  <c:v>111000</c:v>
                </c:pt>
                <c:pt idx="54">
                  <c:v>130000</c:v>
                </c:pt>
                <c:pt idx="55">
                  <c:v>44000</c:v>
                </c:pt>
                <c:pt idx="56">
                  <c:v>93000</c:v>
                </c:pt>
                <c:pt idx="57">
                  <c:v>135000</c:v>
                </c:pt>
                <c:pt idx="58">
                  <c:v>106000</c:v>
                </c:pt>
                <c:pt idx="59">
                  <c:v>250000</c:v>
                </c:pt>
                <c:pt idx="60">
                  <c:v>138000</c:v>
                </c:pt>
                <c:pt idx="61">
                  <c:v>204000</c:v>
                </c:pt>
                <c:pt idx="62">
                  <c:v>69000</c:v>
                </c:pt>
                <c:pt idx="63">
                  <c:v>22000</c:v>
                </c:pt>
                <c:pt idx="64">
                  <c:v>81000</c:v>
                </c:pt>
                <c:pt idx="65">
                  <c:v>98000</c:v>
                </c:pt>
                <c:pt idx="66">
                  <c:v>155000</c:v>
                </c:pt>
                <c:pt idx="67">
                  <c:v>31000</c:v>
                </c:pt>
                <c:pt idx="68">
                  <c:v>174000</c:v>
                </c:pt>
                <c:pt idx="69">
                  <c:v>32000</c:v>
                </c:pt>
                <c:pt idx="70">
                  <c:v>47000</c:v>
                </c:pt>
                <c:pt idx="71">
                  <c:v>119000</c:v>
                </c:pt>
                <c:pt idx="72">
                  <c:v>91000</c:v>
                </c:pt>
                <c:pt idx="73">
                  <c:v>111000</c:v>
                </c:pt>
                <c:pt idx="74">
                  <c:v>101000</c:v>
                </c:pt>
                <c:pt idx="75">
                  <c:v>52000</c:v>
                </c:pt>
                <c:pt idx="76">
                  <c:v>27000</c:v>
                </c:pt>
                <c:pt idx="77">
                  <c:v>181000</c:v>
                </c:pt>
                <c:pt idx="78">
                  <c:v>169000</c:v>
                </c:pt>
                <c:pt idx="79">
                  <c:v>46000</c:v>
                </c:pt>
                <c:pt idx="80">
                  <c:v>31000</c:v>
                </c:pt>
                <c:pt idx="81">
                  <c:v>135000</c:v>
                </c:pt>
                <c:pt idx="82">
                  <c:v>65000</c:v>
                </c:pt>
                <c:pt idx="83">
                  <c:v>95000</c:v>
                </c:pt>
                <c:pt idx="84">
                  <c:v>168000</c:v>
                </c:pt>
                <c:pt idx="85">
                  <c:v>16000</c:v>
                </c:pt>
                <c:pt idx="86">
                  <c:v>18000</c:v>
                </c:pt>
                <c:pt idx="87">
                  <c:v>66000</c:v>
                </c:pt>
                <c:pt idx="88">
                  <c:v>209000</c:v>
                </c:pt>
                <c:pt idx="89">
                  <c:v>123000</c:v>
                </c:pt>
                <c:pt idx="90">
                  <c:v>75000</c:v>
                </c:pt>
                <c:pt idx="91">
                  <c:v>213000</c:v>
                </c:pt>
                <c:pt idx="92">
                  <c:v>15000</c:v>
                </c:pt>
                <c:pt idx="93">
                  <c:v>47000</c:v>
                </c:pt>
                <c:pt idx="94">
                  <c:v>106000</c:v>
                </c:pt>
                <c:pt idx="95">
                  <c:v>57000</c:v>
                </c:pt>
                <c:pt idx="96">
                  <c:v>159000</c:v>
                </c:pt>
                <c:pt idx="97">
                  <c:v>23000</c:v>
                </c:pt>
                <c:pt idx="98">
                  <c:v>105000</c:v>
                </c:pt>
                <c:pt idx="99">
                  <c:v>36000</c:v>
                </c:pt>
                <c:pt idx="100">
                  <c:v>115000</c:v>
                </c:pt>
                <c:pt idx="101">
                  <c:v>245000</c:v>
                </c:pt>
                <c:pt idx="102">
                  <c:v>128000</c:v>
                </c:pt>
                <c:pt idx="103">
                  <c:v>127000</c:v>
                </c:pt>
                <c:pt idx="104">
                  <c:v>135000</c:v>
                </c:pt>
                <c:pt idx="105">
                  <c:v>69000</c:v>
                </c:pt>
                <c:pt idx="106">
                  <c:v>107000</c:v>
                </c:pt>
                <c:pt idx="107">
                  <c:v>76000</c:v>
                </c:pt>
                <c:pt idx="108">
                  <c:v>28000</c:v>
                </c:pt>
                <c:pt idx="109">
                  <c:v>152000</c:v>
                </c:pt>
                <c:pt idx="110">
                  <c:v>137000</c:v>
                </c:pt>
                <c:pt idx="111">
                  <c:v>53000</c:v>
                </c:pt>
                <c:pt idx="112">
                  <c:v>112000</c:v>
                </c:pt>
                <c:pt idx="113">
                  <c:v>250000</c:v>
                </c:pt>
                <c:pt idx="114">
                  <c:v>79000</c:v>
                </c:pt>
                <c:pt idx="115">
                  <c:v>64000</c:v>
                </c:pt>
                <c:pt idx="116">
                  <c:v>128000</c:v>
                </c:pt>
                <c:pt idx="117">
                  <c:v>69000</c:v>
                </c:pt>
                <c:pt idx="118">
                  <c:v>59000</c:v>
                </c:pt>
                <c:pt idx="119">
                  <c:v>39000</c:v>
                </c:pt>
                <c:pt idx="120">
                  <c:v>226000</c:v>
                </c:pt>
                <c:pt idx="121">
                  <c:v>27000</c:v>
                </c:pt>
                <c:pt idx="122">
                  <c:v>16000</c:v>
                </c:pt>
                <c:pt idx="123">
                  <c:v>19000</c:v>
                </c:pt>
                <c:pt idx="124">
                  <c:v>75000</c:v>
                </c:pt>
                <c:pt idx="125">
                  <c:v>88000</c:v>
                </c:pt>
                <c:pt idx="126">
                  <c:v>236000</c:v>
                </c:pt>
                <c:pt idx="127">
                  <c:v>245000</c:v>
                </c:pt>
                <c:pt idx="128">
                  <c:v>229000</c:v>
                </c:pt>
                <c:pt idx="129">
                  <c:v>3000</c:v>
                </c:pt>
                <c:pt idx="130">
                  <c:v>3000</c:v>
                </c:pt>
                <c:pt idx="131">
                  <c:v>21000</c:v>
                </c:pt>
                <c:pt idx="132">
                  <c:v>55000</c:v>
                </c:pt>
                <c:pt idx="133">
                  <c:v>55000</c:v>
                </c:pt>
                <c:pt idx="134">
                  <c:v>63000</c:v>
                </c:pt>
                <c:pt idx="135">
                  <c:v>278000</c:v>
                </c:pt>
              </c:numCache>
            </c:numRef>
          </c:xVal>
          <c:yVal>
            <c:numRef>
              <c:f>'RAV4'!$C$2:$C$137</c:f>
              <c:numCache>
                <c:formatCode>_(* #,##0_);_(* \(#,##0\);_(* "-"??_);_(@_)</c:formatCode>
                <c:ptCount val="136"/>
                <c:pt idx="0">
                  <c:v>12345</c:v>
                </c:pt>
                <c:pt idx="1">
                  <c:v>16200</c:v>
                </c:pt>
                <c:pt idx="2">
                  <c:v>15000</c:v>
                </c:pt>
                <c:pt idx="3">
                  <c:v>11495</c:v>
                </c:pt>
                <c:pt idx="4">
                  <c:v>15000</c:v>
                </c:pt>
                <c:pt idx="5">
                  <c:v>14900</c:v>
                </c:pt>
                <c:pt idx="6">
                  <c:v>6495</c:v>
                </c:pt>
                <c:pt idx="7">
                  <c:v>21500</c:v>
                </c:pt>
                <c:pt idx="8">
                  <c:v>19000</c:v>
                </c:pt>
                <c:pt idx="9">
                  <c:v>19500</c:v>
                </c:pt>
                <c:pt idx="10">
                  <c:v>20995</c:v>
                </c:pt>
                <c:pt idx="11">
                  <c:v>12995</c:v>
                </c:pt>
                <c:pt idx="12">
                  <c:v>21450</c:v>
                </c:pt>
                <c:pt idx="13">
                  <c:v>8770</c:v>
                </c:pt>
                <c:pt idx="14">
                  <c:v>9700</c:v>
                </c:pt>
                <c:pt idx="15">
                  <c:v>6500</c:v>
                </c:pt>
                <c:pt idx="16">
                  <c:v>13499</c:v>
                </c:pt>
                <c:pt idx="17">
                  <c:v>7900</c:v>
                </c:pt>
                <c:pt idx="18">
                  <c:v>16000</c:v>
                </c:pt>
                <c:pt idx="19">
                  <c:v>10985</c:v>
                </c:pt>
                <c:pt idx="20">
                  <c:v>9200</c:v>
                </c:pt>
                <c:pt idx="21">
                  <c:v>12995</c:v>
                </c:pt>
                <c:pt idx="22">
                  <c:v>11500</c:v>
                </c:pt>
                <c:pt idx="23">
                  <c:v>27500</c:v>
                </c:pt>
                <c:pt idx="24">
                  <c:v>6500</c:v>
                </c:pt>
                <c:pt idx="25">
                  <c:v>9450</c:v>
                </c:pt>
                <c:pt idx="26">
                  <c:v>9995</c:v>
                </c:pt>
                <c:pt idx="27">
                  <c:v>25500</c:v>
                </c:pt>
                <c:pt idx="28">
                  <c:v>9500</c:v>
                </c:pt>
                <c:pt idx="29">
                  <c:v>16150</c:v>
                </c:pt>
                <c:pt idx="30">
                  <c:v>13999</c:v>
                </c:pt>
                <c:pt idx="31">
                  <c:v>14950</c:v>
                </c:pt>
                <c:pt idx="32">
                  <c:v>15950</c:v>
                </c:pt>
                <c:pt idx="33">
                  <c:v>16800</c:v>
                </c:pt>
                <c:pt idx="34">
                  <c:v>34900</c:v>
                </c:pt>
                <c:pt idx="35">
                  <c:v>12000</c:v>
                </c:pt>
                <c:pt idx="36">
                  <c:v>14200</c:v>
                </c:pt>
                <c:pt idx="37">
                  <c:v>19500</c:v>
                </c:pt>
                <c:pt idx="38">
                  <c:v>21994</c:v>
                </c:pt>
                <c:pt idx="39">
                  <c:v>17999</c:v>
                </c:pt>
                <c:pt idx="40">
                  <c:v>24000</c:v>
                </c:pt>
                <c:pt idx="41">
                  <c:v>11900</c:v>
                </c:pt>
                <c:pt idx="42">
                  <c:v>19888</c:v>
                </c:pt>
                <c:pt idx="43">
                  <c:v>16500</c:v>
                </c:pt>
                <c:pt idx="44">
                  <c:v>22500</c:v>
                </c:pt>
                <c:pt idx="45">
                  <c:v>36997</c:v>
                </c:pt>
                <c:pt idx="46">
                  <c:v>18999</c:v>
                </c:pt>
                <c:pt idx="47">
                  <c:v>25495</c:v>
                </c:pt>
                <c:pt idx="48">
                  <c:v>25500</c:v>
                </c:pt>
                <c:pt idx="49">
                  <c:v>14200</c:v>
                </c:pt>
                <c:pt idx="50">
                  <c:v>30000</c:v>
                </c:pt>
                <c:pt idx="51">
                  <c:v>25999</c:v>
                </c:pt>
                <c:pt idx="52">
                  <c:v>26950</c:v>
                </c:pt>
                <c:pt idx="53">
                  <c:v>21484</c:v>
                </c:pt>
                <c:pt idx="54">
                  <c:v>14500</c:v>
                </c:pt>
                <c:pt idx="55">
                  <c:v>26495</c:v>
                </c:pt>
                <c:pt idx="56">
                  <c:v>25163</c:v>
                </c:pt>
                <c:pt idx="57">
                  <c:v>19495</c:v>
                </c:pt>
                <c:pt idx="58">
                  <c:v>21995</c:v>
                </c:pt>
                <c:pt idx="59">
                  <c:v>4999</c:v>
                </c:pt>
                <c:pt idx="60">
                  <c:v>16999</c:v>
                </c:pt>
                <c:pt idx="61">
                  <c:v>10999</c:v>
                </c:pt>
                <c:pt idx="62">
                  <c:v>28997</c:v>
                </c:pt>
                <c:pt idx="63">
                  <c:v>31995</c:v>
                </c:pt>
                <c:pt idx="64">
                  <c:v>25900</c:v>
                </c:pt>
                <c:pt idx="65">
                  <c:v>25997</c:v>
                </c:pt>
                <c:pt idx="66">
                  <c:v>18500</c:v>
                </c:pt>
                <c:pt idx="67">
                  <c:v>33995</c:v>
                </c:pt>
                <c:pt idx="68">
                  <c:v>16985</c:v>
                </c:pt>
                <c:pt idx="69">
                  <c:v>34989</c:v>
                </c:pt>
                <c:pt idx="70">
                  <c:v>35000</c:v>
                </c:pt>
                <c:pt idx="71">
                  <c:v>24750</c:v>
                </c:pt>
                <c:pt idx="72">
                  <c:v>23997</c:v>
                </c:pt>
                <c:pt idx="73">
                  <c:v>21500</c:v>
                </c:pt>
                <c:pt idx="74">
                  <c:v>24985</c:v>
                </c:pt>
                <c:pt idx="75">
                  <c:v>31888</c:v>
                </c:pt>
                <c:pt idx="76">
                  <c:v>36900</c:v>
                </c:pt>
                <c:pt idx="77">
                  <c:v>18495</c:v>
                </c:pt>
                <c:pt idx="78">
                  <c:v>16450</c:v>
                </c:pt>
                <c:pt idx="79">
                  <c:v>33888</c:v>
                </c:pt>
                <c:pt idx="80">
                  <c:v>33500</c:v>
                </c:pt>
                <c:pt idx="81">
                  <c:v>23987</c:v>
                </c:pt>
                <c:pt idx="82">
                  <c:v>34688</c:v>
                </c:pt>
                <c:pt idx="83">
                  <c:v>27490</c:v>
                </c:pt>
                <c:pt idx="84">
                  <c:v>17000</c:v>
                </c:pt>
                <c:pt idx="85">
                  <c:v>39600</c:v>
                </c:pt>
                <c:pt idx="86">
                  <c:v>35495</c:v>
                </c:pt>
                <c:pt idx="87">
                  <c:v>31950</c:v>
                </c:pt>
                <c:pt idx="88">
                  <c:v>19186</c:v>
                </c:pt>
                <c:pt idx="89">
                  <c:v>25800</c:v>
                </c:pt>
                <c:pt idx="90">
                  <c:v>32900</c:v>
                </c:pt>
                <c:pt idx="91">
                  <c:v>15995</c:v>
                </c:pt>
                <c:pt idx="92">
                  <c:v>42000</c:v>
                </c:pt>
                <c:pt idx="93">
                  <c:v>33950</c:v>
                </c:pt>
                <c:pt idx="94">
                  <c:v>26990</c:v>
                </c:pt>
                <c:pt idx="95">
                  <c:v>34500</c:v>
                </c:pt>
                <c:pt idx="96">
                  <c:v>23999</c:v>
                </c:pt>
                <c:pt idx="97">
                  <c:v>39900</c:v>
                </c:pt>
                <c:pt idx="98">
                  <c:v>28400</c:v>
                </c:pt>
                <c:pt idx="99">
                  <c:v>36000</c:v>
                </c:pt>
                <c:pt idx="100">
                  <c:v>29000</c:v>
                </c:pt>
                <c:pt idx="101">
                  <c:v>12995</c:v>
                </c:pt>
                <c:pt idx="102">
                  <c:v>26500</c:v>
                </c:pt>
                <c:pt idx="103">
                  <c:v>26995</c:v>
                </c:pt>
                <c:pt idx="104">
                  <c:v>26999</c:v>
                </c:pt>
                <c:pt idx="105">
                  <c:v>34990</c:v>
                </c:pt>
                <c:pt idx="106">
                  <c:v>27989</c:v>
                </c:pt>
                <c:pt idx="107">
                  <c:v>39950</c:v>
                </c:pt>
                <c:pt idx="108">
                  <c:v>44995</c:v>
                </c:pt>
                <c:pt idx="109">
                  <c:v>24995</c:v>
                </c:pt>
                <c:pt idx="110">
                  <c:v>25500</c:v>
                </c:pt>
                <c:pt idx="111">
                  <c:v>33000</c:v>
                </c:pt>
                <c:pt idx="112">
                  <c:v>29500</c:v>
                </c:pt>
                <c:pt idx="113">
                  <c:v>12999</c:v>
                </c:pt>
                <c:pt idx="114">
                  <c:v>29995</c:v>
                </c:pt>
                <c:pt idx="115">
                  <c:v>38500</c:v>
                </c:pt>
                <c:pt idx="116">
                  <c:v>30550</c:v>
                </c:pt>
                <c:pt idx="117">
                  <c:v>35489</c:v>
                </c:pt>
                <c:pt idx="118">
                  <c:v>39690</c:v>
                </c:pt>
                <c:pt idx="119">
                  <c:v>40995</c:v>
                </c:pt>
                <c:pt idx="120">
                  <c:v>17995</c:v>
                </c:pt>
                <c:pt idx="121">
                  <c:v>45884</c:v>
                </c:pt>
                <c:pt idx="122">
                  <c:v>47990</c:v>
                </c:pt>
                <c:pt idx="123">
                  <c:v>44900</c:v>
                </c:pt>
                <c:pt idx="124">
                  <c:v>40990</c:v>
                </c:pt>
                <c:pt idx="125">
                  <c:v>39995</c:v>
                </c:pt>
                <c:pt idx="126">
                  <c:v>17995</c:v>
                </c:pt>
                <c:pt idx="127">
                  <c:v>17995</c:v>
                </c:pt>
                <c:pt idx="128">
                  <c:v>25995</c:v>
                </c:pt>
                <c:pt idx="129">
                  <c:v>59499</c:v>
                </c:pt>
                <c:pt idx="130">
                  <c:v>59499</c:v>
                </c:pt>
                <c:pt idx="131">
                  <c:v>58000</c:v>
                </c:pt>
                <c:pt idx="132">
                  <c:v>52995</c:v>
                </c:pt>
                <c:pt idx="133">
                  <c:v>52995</c:v>
                </c:pt>
                <c:pt idx="134">
                  <c:v>55000</c:v>
                </c:pt>
                <c:pt idx="135">
                  <c:v>12700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A0-4B8C-933D-6A48D0D4A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42608"/>
        <c:axId val="433142968"/>
      </c:scatterChart>
      <c:scatterChart>
        <c:scatterStyle val="lineMarker"/>
        <c:varyColors val="0"/>
        <c:ser>
          <c:idx val="0"/>
          <c:order val="0"/>
          <c:tx>
            <c:strRef>
              <c:f>'RAV4'!$I$1</c:f>
              <c:strCache>
                <c:ptCount val="1"/>
                <c:pt idx="0">
                  <c:v>Price/age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83392984967789"/>
                  <c:y val="2.81007582385535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'RAV4'!$C$2:$C$137</c:f>
              <c:numCache>
                <c:formatCode>_(* #,##0_);_(* \(#,##0\);_(* "-"??_);_(@_)</c:formatCode>
                <c:ptCount val="136"/>
                <c:pt idx="0">
                  <c:v>12345</c:v>
                </c:pt>
                <c:pt idx="1">
                  <c:v>16200</c:v>
                </c:pt>
                <c:pt idx="2">
                  <c:v>15000</c:v>
                </c:pt>
                <c:pt idx="3">
                  <c:v>11495</c:v>
                </c:pt>
                <c:pt idx="4">
                  <c:v>15000</c:v>
                </c:pt>
                <c:pt idx="5">
                  <c:v>14900</c:v>
                </c:pt>
                <c:pt idx="6">
                  <c:v>6495</c:v>
                </c:pt>
                <c:pt idx="7">
                  <c:v>21500</c:v>
                </c:pt>
                <c:pt idx="8">
                  <c:v>19000</c:v>
                </c:pt>
                <c:pt idx="9">
                  <c:v>19500</c:v>
                </c:pt>
                <c:pt idx="10">
                  <c:v>20995</c:v>
                </c:pt>
                <c:pt idx="11">
                  <c:v>12995</c:v>
                </c:pt>
                <c:pt idx="12">
                  <c:v>21450</c:v>
                </c:pt>
                <c:pt idx="13">
                  <c:v>8770</c:v>
                </c:pt>
                <c:pt idx="14">
                  <c:v>9700</c:v>
                </c:pt>
                <c:pt idx="15">
                  <c:v>6500</c:v>
                </c:pt>
                <c:pt idx="16">
                  <c:v>13499</c:v>
                </c:pt>
                <c:pt idx="17">
                  <c:v>7900</c:v>
                </c:pt>
                <c:pt idx="18">
                  <c:v>16000</c:v>
                </c:pt>
                <c:pt idx="19">
                  <c:v>10985</c:v>
                </c:pt>
                <c:pt idx="20">
                  <c:v>9200</c:v>
                </c:pt>
                <c:pt idx="21">
                  <c:v>12995</c:v>
                </c:pt>
                <c:pt idx="22">
                  <c:v>11500</c:v>
                </c:pt>
                <c:pt idx="23">
                  <c:v>27500</c:v>
                </c:pt>
                <c:pt idx="24">
                  <c:v>6500</c:v>
                </c:pt>
                <c:pt idx="25">
                  <c:v>9450</c:v>
                </c:pt>
                <c:pt idx="26">
                  <c:v>9995</c:v>
                </c:pt>
                <c:pt idx="27">
                  <c:v>25500</c:v>
                </c:pt>
                <c:pt idx="28">
                  <c:v>9500</c:v>
                </c:pt>
                <c:pt idx="29">
                  <c:v>16150</c:v>
                </c:pt>
                <c:pt idx="30">
                  <c:v>13999</c:v>
                </c:pt>
                <c:pt idx="31">
                  <c:v>14950</c:v>
                </c:pt>
                <c:pt idx="32">
                  <c:v>15950</c:v>
                </c:pt>
                <c:pt idx="33">
                  <c:v>16800</c:v>
                </c:pt>
                <c:pt idx="34">
                  <c:v>34900</c:v>
                </c:pt>
                <c:pt idx="35">
                  <c:v>12000</c:v>
                </c:pt>
                <c:pt idx="36">
                  <c:v>14200</c:v>
                </c:pt>
                <c:pt idx="37">
                  <c:v>19500</c:v>
                </c:pt>
                <c:pt idx="38">
                  <c:v>21994</c:v>
                </c:pt>
                <c:pt idx="39">
                  <c:v>17999</c:v>
                </c:pt>
                <c:pt idx="40">
                  <c:v>24000</c:v>
                </c:pt>
                <c:pt idx="41">
                  <c:v>11900</c:v>
                </c:pt>
                <c:pt idx="42">
                  <c:v>19888</c:v>
                </c:pt>
                <c:pt idx="43">
                  <c:v>16500</c:v>
                </c:pt>
                <c:pt idx="44">
                  <c:v>22500</c:v>
                </c:pt>
                <c:pt idx="45">
                  <c:v>36997</c:v>
                </c:pt>
                <c:pt idx="46">
                  <c:v>18999</c:v>
                </c:pt>
                <c:pt idx="47">
                  <c:v>25495</c:v>
                </c:pt>
                <c:pt idx="48">
                  <c:v>25500</c:v>
                </c:pt>
                <c:pt idx="49">
                  <c:v>14200</c:v>
                </c:pt>
                <c:pt idx="50">
                  <c:v>30000</c:v>
                </c:pt>
                <c:pt idx="51">
                  <c:v>25999</c:v>
                </c:pt>
                <c:pt idx="52">
                  <c:v>26950</c:v>
                </c:pt>
                <c:pt idx="53">
                  <c:v>21484</c:v>
                </c:pt>
                <c:pt idx="54">
                  <c:v>14500</c:v>
                </c:pt>
                <c:pt idx="55">
                  <c:v>26495</c:v>
                </c:pt>
                <c:pt idx="56">
                  <c:v>25163</c:v>
                </c:pt>
                <c:pt idx="57">
                  <c:v>19495</c:v>
                </c:pt>
                <c:pt idx="58">
                  <c:v>21995</c:v>
                </c:pt>
                <c:pt idx="59">
                  <c:v>4999</c:v>
                </c:pt>
                <c:pt idx="60">
                  <c:v>16999</c:v>
                </c:pt>
                <c:pt idx="61">
                  <c:v>10999</c:v>
                </c:pt>
                <c:pt idx="62">
                  <c:v>28997</c:v>
                </c:pt>
                <c:pt idx="63">
                  <c:v>31995</c:v>
                </c:pt>
                <c:pt idx="64">
                  <c:v>25900</c:v>
                </c:pt>
                <c:pt idx="65">
                  <c:v>25997</c:v>
                </c:pt>
                <c:pt idx="66">
                  <c:v>18500</c:v>
                </c:pt>
                <c:pt idx="67">
                  <c:v>33995</c:v>
                </c:pt>
                <c:pt idx="68">
                  <c:v>16985</c:v>
                </c:pt>
                <c:pt idx="69">
                  <c:v>34989</c:v>
                </c:pt>
                <c:pt idx="70">
                  <c:v>35000</c:v>
                </c:pt>
                <c:pt idx="71">
                  <c:v>24750</c:v>
                </c:pt>
                <c:pt idx="72">
                  <c:v>23997</c:v>
                </c:pt>
                <c:pt idx="73">
                  <c:v>21500</c:v>
                </c:pt>
                <c:pt idx="74">
                  <c:v>24985</c:v>
                </c:pt>
                <c:pt idx="75">
                  <c:v>31888</c:v>
                </c:pt>
                <c:pt idx="76">
                  <c:v>36900</c:v>
                </c:pt>
                <c:pt idx="77">
                  <c:v>18495</c:v>
                </c:pt>
                <c:pt idx="78">
                  <c:v>16450</c:v>
                </c:pt>
                <c:pt idx="79">
                  <c:v>33888</c:v>
                </c:pt>
                <c:pt idx="80">
                  <c:v>33500</c:v>
                </c:pt>
                <c:pt idx="81">
                  <c:v>23987</c:v>
                </c:pt>
                <c:pt idx="82">
                  <c:v>34688</c:v>
                </c:pt>
                <c:pt idx="83">
                  <c:v>27490</c:v>
                </c:pt>
                <c:pt idx="84">
                  <c:v>17000</c:v>
                </c:pt>
                <c:pt idx="85">
                  <c:v>39600</c:v>
                </c:pt>
                <c:pt idx="86">
                  <c:v>35495</c:v>
                </c:pt>
                <c:pt idx="87">
                  <c:v>31950</c:v>
                </c:pt>
                <c:pt idx="88">
                  <c:v>19186</c:v>
                </c:pt>
                <c:pt idx="89">
                  <c:v>25800</c:v>
                </c:pt>
                <c:pt idx="90">
                  <c:v>32900</c:v>
                </c:pt>
                <c:pt idx="91">
                  <c:v>15995</c:v>
                </c:pt>
                <c:pt idx="92">
                  <c:v>42000</c:v>
                </c:pt>
                <c:pt idx="93">
                  <c:v>33950</c:v>
                </c:pt>
                <c:pt idx="94">
                  <c:v>26990</c:v>
                </c:pt>
                <c:pt idx="95">
                  <c:v>34500</c:v>
                </c:pt>
                <c:pt idx="96">
                  <c:v>23999</c:v>
                </c:pt>
                <c:pt idx="97">
                  <c:v>39900</c:v>
                </c:pt>
                <c:pt idx="98">
                  <c:v>28400</c:v>
                </c:pt>
                <c:pt idx="99">
                  <c:v>36000</c:v>
                </c:pt>
                <c:pt idx="100">
                  <c:v>29000</c:v>
                </c:pt>
                <c:pt idx="101">
                  <c:v>12995</c:v>
                </c:pt>
                <c:pt idx="102">
                  <c:v>26500</c:v>
                </c:pt>
                <c:pt idx="103">
                  <c:v>26995</c:v>
                </c:pt>
                <c:pt idx="104">
                  <c:v>26999</c:v>
                </c:pt>
                <c:pt idx="105">
                  <c:v>34990</c:v>
                </c:pt>
                <c:pt idx="106">
                  <c:v>27989</c:v>
                </c:pt>
                <c:pt idx="107">
                  <c:v>39950</c:v>
                </c:pt>
                <c:pt idx="108">
                  <c:v>44995</c:v>
                </c:pt>
                <c:pt idx="109">
                  <c:v>24995</c:v>
                </c:pt>
                <c:pt idx="110">
                  <c:v>25500</c:v>
                </c:pt>
                <c:pt idx="111">
                  <c:v>33000</c:v>
                </c:pt>
                <c:pt idx="112">
                  <c:v>29500</c:v>
                </c:pt>
                <c:pt idx="113">
                  <c:v>12999</c:v>
                </c:pt>
                <c:pt idx="114">
                  <c:v>29995</c:v>
                </c:pt>
                <c:pt idx="115">
                  <c:v>38500</c:v>
                </c:pt>
                <c:pt idx="116">
                  <c:v>30550</c:v>
                </c:pt>
                <c:pt idx="117">
                  <c:v>35489</c:v>
                </c:pt>
                <c:pt idx="118">
                  <c:v>39690</c:v>
                </c:pt>
                <c:pt idx="119">
                  <c:v>40995</c:v>
                </c:pt>
                <c:pt idx="120">
                  <c:v>17995</c:v>
                </c:pt>
                <c:pt idx="121">
                  <c:v>45884</c:v>
                </c:pt>
                <c:pt idx="122">
                  <c:v>47990</c:v>
                </c:pt>
                <c:pt idx="123">
                  <c:v>44900</c:v>
                </c:pt>
                <c:pt idx="124">
                  <c:v>40990</c:v>
                </c:pt>
                <c:pt idx="125">
                  <c:v>39995</c:v>
                </c:pt>
                <c:pt idx="126">
                  <c:v>17995</c:v>
                </c:pt>
                <c:pt idx="127">
                  <c:v>17995</c:v>
                </c:pt>
                <c:pt idx="128">
                  <c:v>25995</c:v>
                </c:pt>
                <c:pt idx="129">
                  <c:v>59499</c:v>
                </c:pt>
                <c:pt idx="130">
                  <c:v>59499</c:v>
                </c:pt>
                <c:pt idx="131">
                  <c:v>58000</c:v>
                </c:pt>
                <c:pt idx="132">
                  <c:v>52995</c:v>
                </c:pt>
                <c:pt idx="133">
                  <c:v>52995</c:v>
                </c:pt>
                <c:pt idx="134">
                  <c:v>55000</c:v>
                </c:pt>
                <c:pt idx="135">
                  <c:v>12700</c:v>
                </c:pt>
              </c:numCache>
            </c:numRef>
          </c:xVal>
          <c:yVal>
            <c:numRef>
              <c:f>'RAV4'!$K$2:$K$137</c:f>
              <c:numCache>
                <c:formatCode>General</c:formatCode>
                <c:ptCount val="136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5</c:v>
                </c:pt>
                <c:pt idx="6">
                  <c:v>15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3</c:v>
                </c:pt>
                <c:pt idx="13">
                  <c:v>16</c:v>
                </c:pt>
                <c:pt idx="14">
                  <c:v>13</c:v>
                </c:pt>
                <c:pt idx="15">
                  <c:v>17</c:v>
                </c:pt>
                <c:pt idx="16">
                  <c:v>7</c:v>
                </c:pt>
                <c:pt idx="17">
                  <c:v>13</c:v>
                </c:pt>
                <c:pt idx="18">
                  <c:v>8</c:v>
                </c:pt>
                <c:pt idx="19">
                  <c:v>12</c:v>
                </c:pt>
                <c:pt idx="20">
                  <c:v>14</c:v>
                </c:pt>
                <c:pt idx="21">
                  <c:v>10</c:v>
                </c:pt>
                <c:pt idx="22">
                  <c:v>12</c:v>
                </c:pt>
                <c:pt idx="23">
                  <c:v>3</c:v>
                </c:pt>
                <c:pt idx="24">
                  <c:v>12</c:v>
                </c:pt>
                <c:pt idx="25">
                  <c:v>13</c:v>
                </c:pt>
                <c:pt idx="26">
                  <c:v>14</c:v>
                </c:pt>
                <c:pt idx="27">
                  <c:v>5</c:v>
                </c:pt>
                <c:pt idx="28">
                  <c:v>14</c:v>
                </c:pt>
                <c:pt idx="29">
                  <c:v>9</c:v>
                </c:pt>
                <c:pt idx="30">
                  <c:v>12</c:v>
                </c:pt>
                <c:pt idx="31">
                  <c:v>10</c:v>
                </c:pt>
                <c:pt idx="32">
                  <c:v>9</c:v>
                </c:pt>
                <c:pt idx="33">
                  <c:v>11</c:v>
                </c:pt>
                <c:pt idx="34">
                  <c:v>1</c:v>
                </c:pt>
                <c:pt idx="35">
                  <c:v>11</c:v>
                </c:pt>
                <c:pt idx="36">
                  <c:v>11</c:v>
                </c:pt>
                <c:pt idx="37">
                  <c:v>7</c:v>
                </c:pt>
                <c:pt idx="38">
                  <c:v>6</c:v>
                </c:pt>
                <c:pt idx="39">
                  <c:v>5</c:v>
                </c:pt>
                <c:pt idx="40">
                  <c:v>6</c:v>
                </c:pt>
                <c:pt idx="41">
                  <c:v>12</c:v>
                </c:pt>
                <c:pt idx="42">
                  <c:v>7</c:v>
                </c:pt>
                <c:pt idx="43">
                  <c:v>10</c:v>
                </c:pt>
                <c:pt idx="44">
                  <c:v>6</c:v>
                </c:pt>
                <c:pt idx="45">
                  <c:v>1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11</c:v>
                </c:pt>
                <c:pt idx="50">
                  <c:v>4</c:v>
                </c:pt>
                <c:pt idx="51">
                  <c:v>6</c:v>
                </c:pt>
                <c:pt idx="52">
                  <c:v>5</c:v>
                </c:pt>
                <c:pt idx="53">
                  <c:v>7</c:v>
                </c:pt>
                <c:pt idx="54">
                  <c:v>13</c:v>
                </c:pt>
                <c:pt idx="55">
                  <c:v>6</c:v>
                </c:pt>
                <c:pt idx="56">
                  <c:v>5</c:v>
                </c:pt>
                <c:pt idx="57">
                  <c:v>8</c:v>
                </c:pt>
                <c:pt idx="58">
                  <c:v>7</c:v>
                </c:pt>
                <c:pt idx="59">
                  <c:v>21</c:v>
                </c:pt>
                <c:pt idx="60">
                  <c:v>10</c:v>
                </c:pt>
                <c:pt idx="61">
                  <c:v>13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5</c:v>
                </c:pt>
                <c:pt idx="66">
                  <c:v>8</c:v>
                </c:pt>
                <c:pt idx="67">
                  <c:v>3</c:v>
                </c:pt>
                <c:pt idx="68">
                  <c:v>8</c:v>
                </c:pt>
                <c:pt idx="69">
                  <c:v>2</c:v>
                </c:pt>
                <c:pt idx="70">
                  <c:v>2</c:v>
                </c:pt>
                <c:pt idx="71">
                  <c:v>5</c:v>
                </c:pt>
                <c:pt idx="72">
                  <c:v>7</c:v>
                </c:pt>
                <c:pt idx="73">
                  <c:v>8</c:v>
                </c:pt>
                <c:pt idx="74">
                  <c:v>6</c:v>
                </c:pt>
                <c:pt idx="75">
                  <c:v>4</c:v>
                </c:pt>
                <c:pt idx="76">
                  <c:v>2</c:v>
                </c:pt>
                <c:pt idx="77">
                  <c:v>7</c:v>
                </c:pt>
                <c:pt idx="78">
                  <c:v>10</c:v>
                </c:pt>
                <c:pt idx="79">
                  <c:v>3</c:v>
                </c:pt>
                <c:pt idx="80">
                  <c:v>4</c:v>
                </c:pt>
                <c:pt idx="81">
                  <c:v>5</c:v>
                </c:pt>
                <c:pt idx="82">
                  <c:v>2</c:v>
                </c:pt>
                <c:pt idx="83">
                  <c:v>5</c:v>
                </c:pt>
                <c:pt idx="84">
                  <c:v>10</c:v>
                </c:pt>
                <c:pt idx="85">
                  <c:v>2</c:v>
                </c:pt>
                <c:pt idx="86">
                  <c:v>4</c:v>
                </c:pt>
                <c:pt idx="87">
                  <c:v>4</c:v>
                </c:pt>
                <c:pt idx="88">
                  <c:v>5</c:v>
                </c:pt>
                <c:pt idx="89">
                  <c:v>5</c:v>
                </c:pt>
                <c:pt idx="90">
                  <c:v>3</c:v>
                </c:pt>
                <c:pt idx="91">
                  <c:v>8</c:v>
                </c:pt>
                <c:pt idx="92">
                  <c:v>1</c:v>
                </c:pt>
                <c:pt idx="93">
                  <c:v>4</c:v>
                </c:pt>
                <c:pt idx="94">
                  <c:v>6</c:v>
                </c:pt>
                <c:pt idx="95">
                  <c:v>4</c:v>
                </c:pt>
                <c:pt idx="96">
                  <c:v>5</c:v>
                </c:pt>
                <c:pt idx="97">
                  <c:v>2</c:v>
                </c:pt>
                <c:pt idx="98">
                  <c:v>5</c:v>
                </c:pt>
                <c:pt idx="99">
                  <c:v>4</c:v>
                </c:pt>
                <c:pt idx="100">
                  <c:v>5</c:v>
                </c:pt>
                <c:pt idx="101">
                  <c:v>8</c:v>
                </c:pt>
                <c:pt idx="102">
                  <c:v>6</c:v>
                </c:pt>
                <c:pt idx="103">
                  <c:v>6</c:v>
                </c:pt>
                <c:pt idx="104">
                  <c:v>5</c:v>
                </c:pt>
                <c:pt idx="105">
                  <c:v>4</c:v>
                </c:pt>
                <c:pt idx="106">
                  <c:v>6</c:v>
                </c:pt>
                <c:pt idx="107">
                  <c:v>2</c:v>
                </c:pt>
                <c:pt idx="108">
                  <c:v>1</c:v>
                </c:pt>
                <c:pt idx="109">
                  <c:v>6</c:v>
                </c:pt>
                <c:pt idx="110">
                  <c:v>7</c:v>
                </c:pt>
                <c:pt idx="111">
                  <c:v>6</c:v>
                </c:pt>
                <c:pt idx="112">
                  <c:v>6</c:v>
                </c:pt>
                <c:pt idx="113">
                  <c:v>9</c:v>
                </c:pt>
                <c:pt idx="114">
                  <c:v>7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3</c:v>
                </c:pt>
                <c:pt idx="119">
                  <c:v>4</c:v>
                </c:pt>
                <c:pt idx="120">
                  <c:v>7</c:v>
                </c:pt>
                <c:pt idx="121">
                  <c:v>2</c:v>
                </c:pt>
                <c:pt idx="122">
                  <c:v>2</c:v>
                </c:pt>
                <c:pt idx="123">
                  <c:v>4</c:v>
                </c:pt>
                <c:pt idx="124">
                  <c:v>4</c:v>
                </c:pt>
                <c:pt idx="125">
                  <c:v>3</c:v>
                </c:pt>
                <c:pt idx="126">
                  <c:v>7</c:v>
                </c:pt>
                <c:pt idx="127">
                  <c:v>7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A0-4B8C-933D-6A48D0D4A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1608"/>
        <c:axId val="433154848"/>
      </c:scatterChart>
      <c:valAx>
        <c:axId val="4331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968"/>
        <c:crosses val="autoZero"/>
        <c:crossBetween val="midCat"/>
      </c:valAx>
      <c:valAx>
        <c:axId val="43314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608"/>
        <c:crosses val="autoZero"/>
        <c:crossBetween val="midCat"/>
      </c:valAx>
      <c:valAx>
        <c:axId val="43315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1608"/>
        <c:crosses val="max"/>
        <c:crossBetween val="midCat"/>
      </c:valAx>
      <c:valAx>
        <c:axId val="433151608"/>
        <c:scaling>
          <c:orientation val="minMax"/>
        </c:scaling>
        <c:delete val="0"/>
        <c:axPos val="t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484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'RAV4'!$G$1</c:f>
              <c:strCache>
                <c:ptCount val="1"/>
                <c:pt idx="0">
                  <c:v>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0.44996172353455816"/>
                  <c:y val="-0.1674030329542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'RAV4'!$K$2:$K$137</c:f>
              <c:numCache>
                <c:formatCode>General</c:formatCode>
                <c:ptCount val="136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5</c:v>
                </c:pt>
                <c:pt idx="6">
                  <c:v>15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3</c:v>
                </c:pt>
                <c:pt idx="13">
                  <c:v>16</c:v>
                </c:pt>
                <c:pt idx="14">
                  <c:v>13</c:v>
                </c:pt>
                <c:pt idx="15">
                  <c:v>17</c:v>
                </c:pt>
                <c:pt idx="16">
                  <c:v>7</c:v>
                </c:pt>
                <c:pt idx="17">
                  <c:v>13</c:v>
                </c:pt>
                <c:pt idx="18">
                  <c:v>8</c:v>
                </c:pt>
                <c:pt idx="19">
                  <c:v>12</c:v>
                </c:pt>
                <c:pt idx="20">
                  <c:v>14</c:v>
                </c:pt>
                <c:pt idx="21">
                  <c:v>10</c:v>
                </c:pt>
                <c:pt idx="22">
                  <c:v>12</c:v>
                </c:pt>
                <c:pt idx="23">
                  <c:v>3</c:v>
                </c:pt>
                <c:pt idx="24">
                  <c:v>12</c:v>
                </c:pt>
                <c:pt idx="25">
                  <c:v>13</c:v>
                </c:pt>
                <c:pt idx="26">
                  <c:v>14</c:v>
                </c:pt>
                <c:pt idx="27">
                  <c:v>5</c:v>
                </c:pt>
                <c:pt idx="28">
                  <c:v>14</c:v>
                </c:pt>
                <c:pt idx="29">
                  <c:v>9</c:v>
                </c:pt>
                <c:pt idx="30">
                  <c:v>12</c:v>
                </c:pt>
                <c:pt idx="31">
                  <c:v>10</c:v>
                </c:pt>
                <c:pt idx="32">
                  <c:v>9</c:v>
                </c:pt>
                <c:pt idx="33">
                  <c:v>11</c:v>
                </c:pt>
                <c:pt idx="34">
                  <c:v>1</c:v>
                </c:pt>
                <c:pt idx="35">
                  <c:v>11</c:v>
                </c:pt>
                <c:pt idx="36">
                  <c:v>11</c:v>
                </c:pt>
                <c:pt idx="37">
                  <c:v>7</c:v>
                </c:pt>
                <c:pt idx="38">
                  <c:v>6</c:v>
                </c:pt>
                <c:pt idx="39">
                  <c:v>5</c:v>
                </c:pt>
                <c:pt idx="40">
                  <c:v>6</c:v>
                </c:pt>
                <c:pt idx="41">
                  <c:v>12</c:v>
                </c:pt>
                <c:pt idx="42">
                  <c:v>7</c:v>
                </c:pt>
                <c:pt idx="43">
                  <c:v>10</c:v>
                </c:pt>
                <c:pt idx="44">
                  <c:v>6</c:v>
                </c:pt>
                <c:pt idx="45">
                  <c:v>1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11</c:v>
                </c:pt>
                <c:pt idx="50">
                  <c:v>4</c:v>
                </c:pt>
                <c:pt idx="51">
                  <c:v>6</c:v>
                </c:pt>
                <c:pt idx="52">
                  <c:v>5</c:v>
                </c:pt>
                <c:pt idx="53">
                  <c:v>7</c:v>
                </c:pt>
                <c:pt idx="54">
                  <c:v>13</c:v>
                </c:pt>
                <c:pt idx="55">
                  <c:v>6</c:v>
                </c:pt>
                <c:pt idx="56">
                  <c:v>5</c:v>
                </c:pt>
                <c:pt idx="57">
                  <c:v>8</c:v>
                </c:pt>
                <c:pt idx="58">
                  <c:v>7</c:v>
                </c:pt>
                <c:pt idx="59">
                  <c:v>21</c:v>
                </c:pt>
                <c:pt idx="60">
                  <c:v>10</c:v>
                </c:pt>
                <c:pt idx="61">
                  <c:v>13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5</c:v>
                </c:pt>
                <c:pt idx="66">
                  <c:v>8</c:v>
                </c:pt>
                <c:pt idx="67">
                  <c:v>3</c:v>
                </c:pt>
                <c:pt idx="68">
                  <c:v>8</c:v>
                </c:pt>
                <c:pt idx="69">
                  <c:v>2</c:v>
                </c:pt>
                <c:pt idx="70">
                  <c:v>2</c:v>
                </c:pt>
                <c:pt idx="71">
                  <c:v>5</c:v>
                </c:pt>
                <c:pt idx="72">
                  <c:v>7</c:v>
                </c:pt>
                <c:pt idx="73">
                  <c:v>8</c:v>
                </c:pt>
                <c:pt idx="74">
                  <c:v>6</c:v>
                </c:pt>
                <c:pt idx="75">
                  <c:v>4</c:v>
                </c:pt>
                <c:pt idx="76">
                  <c:v>2</c:v>
                </c:pt>
                <c:pt idx="77">
                  <c:v>7</c:v>
                </c:pt>
                <c:pt idx="78">
                  <c:v>10</c:v>
                </c:pt>
                <c:pt idx="79">
                  <c:v>3</c:v>
                </c:pt>
                <c:pt idx="80">
                  <c:v>4</c:v>
                </c:pt>
                <c:pt idx="81">
                  <c:v>5</c:v>
                </c:pt>
                <c:pt idx="82">
                  <c:v>2</c:v>
                </c:pt>
                <c:pt idx="83">
                  <c:v>5</c:v>
                </c:pt>
                <c:pt idx="84">
                  <c:v>10</c:v>
                </c:pt>
                <c:pt idx="85">
                  <c:v>2</c:v>
                </c:pt>
                <c:pt idx="86">
                  <c:v>4</c:v>
                </c:pt>
                <c:pt idx="87">
                  <c:v>4</c:v>
                </c:pt>
                <c:pt idx="88">
                  <c:v>5</c:v>
                </c:pt>
                <c:pt idx="89">
                  <c:v>5</c:v>
                </c:pt>
                <c:pt idx="90">
                  <c:v>3</c:v>
                </c:pt>
                <c:pt idx="91">
                  <c:v>8</c:v>
                </c:pt>
                <c:pt idx="92">
                  <c:v>1</c:v>
                </c:pt>
                <c:pt idx="93">
                  <c:v>4</c:v>
                </c:pt>
                <c:pt idx="94">
                  <c:v>6</c:v>
                </c:pt>
                <c:pt idx="95">
                  <c:v>4</c:v>
                </c:pt>
                <c:pt idx="96">
                  <c:v>5</c:v>
                </c:pt>
                <c:pt idx="97">
                  <c:v>2</c:v>
                </c:pt>
                <c:pt idx="98">
                  <c:v>5</c:v>
                </c:pt>
                <c:pt idx="99">
                  <c:v>4</c:v>
                </c:pt>
                <c:pt idx="100">
                  <c:v>5</c:v>
                </c:pt>
                <c:pt idx="101">
                  <c:v>8</c:v>
                </c:pt>
                <c:pt idx="102">
                  <c:v>6</c:v>
                </c:pt>
                <c:pt idx="103">
                  <c:v>6</c:v>
                </c:pt>
                <c:pt idx="104">
                  <c:v>5</c:v>
                </c:pt>
                <c:pt idx="105">
                  <c:v>4</c:v>
                </c:pt>
                <c:pt idx="106">
                  <c:v>6</c:v>
                </c:pt>
                <c:pt idx="107">
                  <c:v>2</c:v>
                </c:pt>
                <c:pt idx="108">
                  <c:v>1</c:v>
                </c:pt>
                <c:pt idx="109">
                  <c:v>6</c:v>
                </c:pt>
                <c:pt idx="110">
                  <c:v>7</c:v>
                </c:pt>
                <c:pt idx="111">
                  <c:v>6</c:v>
                </c:pt>
                <c:pt idx="112">
                  <c:v>6</c:v>
                </c:pt>
                <c:pt idx="113">
                  <c:v>9</c:v>
                </c:pt>
                <c:pt idx="114">
                  <c:v>7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3</c:v>
                </c:pt>
                <c:pt idx="119">
                  <c:v>4</c:v>
                </c:pt>
                <c:pt idx="120">
                  <c:v>7</c:v>
                </c:pt>
                <c:pt idx="121">
                  <c:v>2</c:v>
                </c:pt>
                <c:pt idx="122">
                  <c:v>2</c:v>
                </c:pt>
                <c:pt idx="123">
                  <c:v>4</c:v>
                </c:pt>
                <c:pt idx="124">
                  <c:v>4</c:v>
                </c:pt>
                <c:pt idx="125">
                  <c:v>3</c:v>
                </c:pt>
                <c:pt idx="126">
                  <c:v>7</c:v>
                </c:pt>
                <c:pt idx="127">
                  <c:v>7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10</c:v>
                </c:pt>
              </c:numCache>
            </c:numRef>
          </c:xVal>
          <c:yVal>
            <c:numRef>
              <c:f>'RAV4'!$G$2:$G$137</c:f>
              <c:numCache>
                <c:formatCode>General</c:formatCode>
                <c:ptCount val="136"/>
                <c:pt idx="0">
                  <c:v>2000</c:v>
                </c:pt>
                <c:pt idx="1">
                  <c:v>43000</c:v>
                </c:pt>
                <c:pt idx="2">
                  <c:v>35000</c:v>
                </c:pt>
                <c:pt idx="3">
                  <c:v>112000</c:v>
                </c:pt>
                <c:pt idx="4">
                  <c:v>92000</c:v>
                </c:pt>
                <c:pt idx="5">
                  <c:v>104000</c:v>
                </c:pt>
                <c:pt idx="6">
                  <c:v>183000</c:v>
                </c:pt>
                <c:pt idx="7">
                  <c:v>32000</c:v>
                </c:pt>
                <c:pt idx="8">
                  <c:v>40000</c:v>
                </c:pt>
                <c:pt idx="9">
                  <c:v>36000</c:v>
                </c:pt>
                <c:pt idx="10">
                  <c:v>42000</c:v>
                </c:pt>
                <c:pt idx="11">
                  <c:v>177000</c:v>
                </c:pt>
                <c:pt idx="12">
                  <c:v>69000</c:v>
                </c:pt>
                <c:pt idx="13">
                  <c:v>136000</c:v>
                </c:pt>
                <c:pt idx="14">
                  <c:v>161000</c:v>
                </c:pt>
                <c:pt idx="15">
                  <c:v>207000</c:v>
                </c:pt>
                <c:pt idx="16">
                  <c:v>172000</c:v>
                </c:pt>
                <c:pt idx="17">
                  <c:v>215000</c:v>
                </c:pt>
                <c:pt idx="18">
                  <c:v>105000</c:v>
                </c:pt>
                <c:pt idx="19">
                  <c:v>159000</c:v>
                </c:pt>
                <c:pt idx="20">
                  <c:v>184000</c:v>
                </c:pt>
                <c:pt idx="21">
                  <c:v>154000</c:v>
                </c:pt>
                <c:pt idx="22">
                  <c:v>162000</c:v>
                </c:pt>
                <c:pt idx="23">
                  <c:v>26000</c:v>
                </c:pt>
                <c:pt idx="24">
                  <c:v>263000</c:v>
                </c:pt>
                <c:pt idx="25">
                  <c:v>203000</c:v>
                </c:pt>
                <c:pt idx="26">
                  <c:v>182000</c:v>
                </c:pt>
                <c:pt idx="27">
                  <c:v>40000</c:v>
                </c:pt>
                <c:pt idx="28">
                  <c:v>196000</c:v>
                </c:pt>
                <c:pt idx="29">
                  <c:v>128000</c:v>
                </c:pt>
                <c:pt idx="30">
                  <c:v>122000</c:v>
                </c:pt>
                <c:pt idx="31">
                  <c:v>146000</c:v>
                </c:pt>
                <c:pt idx="32">
                  <c:v>150000</c:v>
                </c:pt>
                <c:pt idx="33">
                  <c:v>92000</c:v>
                </c:pt>
                <c:pt idx="34">
                  <c:v>6000</c:v>
                </c:pt>
                <c:pt idx="35">
                  <c:v>198000</c:v>
                </c:pt>
                <c:pt idx="36">
                  <c:v>158000</c:v>
                </c:pt>
                <c:pt idx="37">
                  <c:v>125000</c:v>
                </c:pt>
                <c:pt idx="38">
                  <c:v>110000</c:v>
                </c:pt>
                <c:pt idx="39">
                  <c:v>188000</c:v>
                </c:pt>
                <c:pt idx="40">
                  <c:v>72000</c:v>
                </c:pt>
                <c:pt idx="41">
                  <c:v>187000</c:v>
                </c:pt>
                <c:pt idx="42">
                  <c:v>118000</c:v>
                </c:pt>
                <c:pt idx="43">
                  <c:v>135000</c:v>
                </c:pt>
                <c:pt idx="44">
                  <c:v>105000</c:v>
                </c:pt>
                <c:pt idx="45">
                  <c:v>4000</c:v>
                </c:pt>
                <c:pt idx="46">
                  <c:v>167000</c:v>
                </c:pt>
                <c:pt idx="47">
                  <c:v>59000</c:v>
                </c:pt>
                <c:pt idx="48">
                  <c:v>48000</c:v>
                </c:pt>
                <c:pt idx="49">
                  <c:v>160000</c:v>
                </c:pt>
                <c:pt idx="50">
                  <c:v>43000</c:v>
                </c:pt>
                <c:pt idx="51">
                  <c:v>53000</c:v>
                </c:pt>
                <c:pt idx="52">
                  <c:v>64000</c:v>
                </c:pt>
                <c:pt idx="53">
                  <c:v>111000</c:v>
                </c:pt>
                <c:pt idx="54">
                  <c:v>130000</c:v>
                </c:pt>
                <c:pt idx="55">
                  <c:v>44000</c:v>
                </c:pt>
                <c:pt idx="56">
                  <c:v>93000</c:v>
                </c:pt>
                <c:pt idx="57">
                  <c:v>135000</c:v>
                </c:pt>
                <c:pt idx="58">
                  <c:v>106000</c:v>
                </c:pt>
                <c:pt idx="59">
                  <c:v>250000</c:v>
                </c:pt>
                <c:pt idx="60">
                  <c:v>138000</c:v>
                </c:pt>
                <c:pt idx="61">
                  <c:v>204000</c:v>
                </c:pt>
                <c:pt idx="62">
                  <c:v>69000</c:v>
                </c:pt>
                <c:pt idx="63">
                  <c:v>22000</c:v>
                </c:pt>
                <c:pt idx="64">
                  <c:v>81000</c:v>
                </c:pt>
                <c:pt idx="65">
                  <c:v>98000</c:v>
                </c:pt>
                <c:pt idx="66">
                  <c:v>155000</c:v>
                </c:pt>
                <c:pt idx="67">
                  <c:v>31000</c:v>
                </c:pt>
                <c:pt idx="68">
                  <c:v>174000</c:v>
                </c:pt>
                <c:pt idx="69">
                  <c:v>32000</c:v>
                </c:pt>
                <c:pt idx="70">
                  <c:v>47000</c:v>
                </c:pt>
                <c:pt idx="71">
                  <c:v>119000</c:v>
                </c:pt>
                <c:pt idx="72">
                  <c:v>91000</c:v>
                </c:pt>
                <c:pt idx="73">
                  <c:v>111000</c:v>
                </c:pt>
                <c:pt idx="74">
                  <c:v>101000</c:v>
                </c:pt>
                <c:pt idx="75">
                  <c:v>52000</c:v>
                </c:pt>
                <c:pt idx="76">
                  <c:v>27000</c:v>
                </c:pt>
                <c:pt idx="77">
                  <c:v>181000</c:v>
                </c:pt>
                <c:pt idx="78">
                  <c:v>169000</c:v>
                </c:pt>
                <c:pt idx="79">
                  <c:v>46000</c:v>
                </c:pt>
                <c:pt idx="80">
                  <c:v>31000</c:v>
                </c:pt>
                <c:pt idx="81">
                  <c:v>135000</c:v>
                </c:pt>
                <c:pt idx="82">
                  <c:v>65000</c:v>
                </c:pt>
                <c:pt idx="83">
                  <c:v>95000</c:v>
                </c:pt>
                <c:pt idx="84">
                  <c:v>168000</c:v>
                </c:pt>
                <c:pt idx="85">
                  <c:v>16000</c:v>
                </c:pt>
                <c:pt idx="86">
                  <c:v>18000</c:v>
                </c:pt>
                <c:pt idx="87">
                  <c:v>66000</c:v>
                </c:pt>
                <c:pt idx="88">
                  <c:v>209000</c:v>
                </c:pt>
                <c:pt idx="89">
                  <c:v>123000</c:v>
                </c:pt>
                <c:pt idx="90">
                  <c:v>75000</c:v>
                </c:pt>
                <c:pt idx="91">
                  <c:v>213000</c:v>
                </c:pt>
                <c:pt idx="92">
                  <c:v>15000</c:v>
                </c:pt>
                <c:pt idx="93">
                  <c:v>47000</c:v>
                </c:pt>
                <c:pt idx="94">
                  <c:v>106000</c:v>
                </c:pt>
                <c:pt idx="95">
                  <c:v>57000</c:v>
                </c:pt>
                <c:pt idx="96">
                  <c:v>159000</c:v>
                </c:pt>
                <c:pt idx="97">
                  <c:v>23000</c:v>
                </c:pt>
                <c:pt idx="98">
                  <c:v>105000</c:v>
                </c:pt>
                <c:pt idx="99">
                  <c:v>36000</c:v>
                </c:pt>
                <c:pt idx="100">
                  <c:v>115000</c:v>
                </c:pt>
                <c:pt idx="101">
                  <c:v>245000</c:v>
                </c:pt>
                <c:pt idx="102">
                  <c:v>128000</c:v>
                </c:pt>
                <c:pt idx="103">
                  <c:v>127000</c:v>
                </c:pt>
                <c:pt idx="104">
                  <c:v>135000</c:v>
                </c:pt>
                <c:pt idx="105">
                  <c:v>69000</c:v>
                </c:pt>
                <c:pt idx="106">
                  <c:v>107000</c:v>
                </c:pt>
                <c:pt idx="107">
                  <c:v>76000</c:v>
                </c:pt>
                <c:pt idx="108">
                  <c:v>28000</c:v>
                </c:pt>
                <c:pt idx="109">
                  <c:v>152000</c:v>
                </c:pt>
                <c:pt idx="110">
                  <c:v>137000</c:v>
                </c:pt>
                <c:pt idx="111">
                  <c:v>53000</c:v>
                </c:pt>
                <c:pt idx="112">
                  <c:v>112000</c:v>
                </c:pt>
                <c:pt idx="113">
                  <c:v>250000</c:v>
                </c:pt>
                <c:pt idx="114">
                  <c:v>79000</c:v>
                </c:pt>
                <c:pt idx="115">
                  <c:v>64000</c:v>
                </c:pt>
                <c:pt idx="116">
                  <c:v>128000</c:v>
                </c:pt>
                <c:pt idx="117">
                  <c:v>69000</c:v>
                </c:pt>
                <c:pt idx="118">
                  <c:v>59000</c:v>
                </c:pt>
                <c:pt idx="119">
                  <c:v>39000</c:v>
                </c:pt>
                <c:pt idx="120">
                  <c:v>226000</c:v>
                </c:pt>
                <c:pt idx="121">
                  <c:v>27000</c:v>
                </c:pt>
                <c:pt idx="122">
                  <c:v>16000</c:v>
                </c:pt>
                <c:pt idx="123">
                  <c:v>19000</c:v>
                </c:pt>
                <c:pt idx="124">
                  <c:v>75000</c:v>
                </c:pt>
                <c:pt idx="125">
                  <c:v>88000</c:v>
                </c:pt>
                <c:pt idx="126">
                  <c:v>236000</c:v>
                </c:pt>
                <c:pt idx="127">
                  <c:v>245000</c:v>
                </c:pt>
                <c:pt idx="128">
                  <c:v>229000</c:v>
                </c:pt>
                <c:pt idx="129">
                  <c:v>3000</c:v>
                </c:pt>
                <c:pt idx="130">
                  <c:v>3000</c:v>
                </c:pt>
                <c:pt idx="131">
                  <c:v>21000</c:v>
                </c:pt>
                <c:pt idx="132">
                  <c:v>55000</c:v>
                </c:pt>
                <c:pt idx="133">
                  <c:v>55000</c:v>
                </c:pt>
                <c:pt idx="134">
                  <c:v>63000</c:v>
                </c:pt>
                <c:pt idx="135">
                  <c:v>278000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EE-4F9D-B896-FA4456636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38960"/>
        <c:axId val="773387432"/>
      </c:scatterChart>
      <c:valAx>
        <c:axId val="6547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87432"/>
        <c:crosses val="autoZero"/>
        <c:crossBetween val="midCat"/>
      </c:valAx>
      <c:valAx>
        <c:axId val="7733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</xdr:row>
      <xdr:rowOff>19050</xdr:rowOff>
    </xdr:from>
    <xdr:to>
      <xdr:col>22</xdr:col>
      <xdr:colOff>352425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243CCB-1FE5-445A-AE5E-9C8C6B500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</xdr:colOff>
      <xdr:row>17</xdr:row>
      <xdr:rowOff>52387</xdr:rowOff>
    </xdr:from>
    <xdr:to>
      <xdr:col>22</xdr:col>
      <xdr:colOff>333375</xdr:colOff>
      <xdr:row>31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B1441F-5D11-43CD-8BCB-F4E67C61A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</xdr:row>
      <xdr:rowOff>19050</xdr:rowOff>
    </xdr:from>
    <xdr:to>
      <xdr:col>22</xdr:col>
      <xdr:colOff>352425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44DCB5-B2BA-4EB2-8A1C-1726C620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</xdr:colOff>
      <xdr:row>17</xdr:row>
      <xdr:rowOff>52387</xdr:rowOff>
    </xdr:from>
    <xdr:to>
      <xdr:col>22</xdr:col>
      <xdr:colOff>333375</xdr:colOff>
      <xdr:row>31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954836A-563F-4CAD-B41C-E971F747F1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</xdr:row>
      <xdr:rowOff>19050</xdr:rowOff>
    </xdr:from>
    <xdr:to>
      <xdr:col>22</xdr:col>
      <xdr:colOff>352425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10DAE-68F4-4C82-96A4-2B2274A03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</xdr:colOff>
      <xdr:row>17</xdr:row>
      <xdr:rowOff>52387</xdr:rowOff>
    </xdr:from>
    <xdr:to>
      <xdr:col>22</xdr:col>
      <xdr:colOff>333375</xdr:colOff>
      <xdr:row>31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C2D841-5E62-42C7-A5BB-955E2AF50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</xdr:row>
      <xdr:rowOff>19050</xdr:rowOff>
    </xdr:from>
    <xdr:to>
      <xdr:col>22</xdr:col>
      <xdr:colOff>352425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7B7FB1-EC9D-468A-9F39-712BFAD9E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</xdr:colOff>
      <xdr:row>17</xdr:row>
      <xdr:rowOff>52387</xdr:rowOff>
    </xdr:from>
    <xdr:to>
      <xdr:col>22</xdr:col>
      <xdr:colOff>333375</xdr:colOff>
      <xdr:row>31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F206B2-8B73-45CA-B7F0-2AF5E2253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14007</xdr:colOff>
      <xdr:row>3</xdr:row>
      <xdr:rowOff>19051</xdr:rowOff>
    </xdr:from>
    <xdr:to>
      <xdr:col>23</xdr:col>
      <xdr:colOff>318807</xdr:colOff>
      <xdr:row>17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B43B35-A74D-4C44-B2BF-FD5DF779F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28575</xdr:colOff>
      <xdr:row>17</xdr:row>
      <xdr:rowOff>52387</xdr:rowOff>
    </xdr:from>
    <xdr:to>
      <xdr:col>23</xdr:col>
      <xdr:colOff>333375</xdr:colOff>
      <xdr:row>31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5EF3A9-6644-4DA2-9BA0-4C62E74FE3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DD5F22-E337-4D82-8633-D873A4373D0C}" name="Table135" displayName="Table135" ref="A1:M100" totalsRowShown="0">
  <autoFilter ref="A1:M100" xr:uid="{2A809D2C-3A0A-4AB6-80DE-3AA7CFE58979}"/>
  <sortState xmlns:xlrd2="http://schemas.microsoft.com/office/spreadsheetml/2017/richdata2" ref="A2:M85">
    <sortCondition descending="1" ref="M1:M85"/>
  </sortState>
  <tableColumns count="13">
    <tableColumn id="9" xr3:uid="{65D80843-7042-44B7-BDAA-2803054C6352}" name="Date"/>
    <tableColumn id="1" xr3:uid="{2176CED9-A962-46C0-8188-EC1E18BBE619}" name="ID"/>
    <tableColumn id="2" xr3:uid="{435E0B15-5731-4B2F-99E2-C8091C1F7836}" name="Price"/>
    <tableColumn id="3" xr3:uid="{5AAD92EC-98AC-4BAA-A354-01C9272CF142}" name="year"/>
    <tableColumn id="4" xr3:uid="{8297F922-6281-43A0-8C5C-EF8BD8888F26}" name="Model"/>
    <tableColumn id="5" xr3:uid="{26552B5B-DB93-44D6-98E2-0E0A1E457891}" name="City"/>
    <tableColumn id="6" xr3:uid="{098AF7BD-E333-4735-889D-3568472757EA}" name="Mileage"/>
    <tableColumn id="7" xr3:uid="{58B67007-E262-48E5-ABDF-8684CFCC5093}" name="price/mileage" dataDxfId="46">
      <calculatedColumnFormula>Table135[[#This Row],[Price]]/Table135[[#This Row],[Mileage]]</calculatedColumnFormula>
    </tableColumn>
    <tableColumn id="8" xr3:uid="{6A795744-D98D-49DE-8C03-05C013FBDA30}" name="Price/age" dataDxfId="45">
      <calculatedColumnFormula>Table135[[#This Row],[Price]]/Table135[[#This Row],[Age]]</calculatedColumnFormula>
    </tableColumn>
    <tableColumn id="10" xr3:uid="{D9B3B5F3-BB7F-48EB-B4F2-930CB14933E4}" name="Age" dataDxfId="44">
      <calculatedColumnFormula>IF(YEAR(TODAY())=Table135[[#This Row],[year]],0.8,YEAR(TODAY())-Table135[[#This Row],[year]])</calculatedColumnFormula>
    </tableColumn>
    <tableColumn id="11" xr3:uid="{5B1DC611-86D1-4A8B-860D-68BEB05554B5}" name="normal price/real milage" dataDxfId="43">
      <calculatedColumnFormula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calculatedColumnFormula>
    </tableColumn>
    <tableColumn id="12" xr3:uid="{1719FCF4-15F9-445A-B76E-113FC6BA3B32}" name="Column1" dataDxfId="42">
      <calculatedColumnFormula array="1">EXP(INDEX(LINEST(LN(Table135[Price]),Table135[Age]),1,2))*EXP(INDEX(LINEST(LN(Table135[Price]),Table135[Age]),1,1)*Table135[[#This Row],[Age]])/Table135[[#This Row],[Price]]</calculatedColumnFormula>
    </tableColumn>
    <tableColumn id="13" xr3:uid="{AFA54589-FC24-4F78-81FC-7D89B59D29AA}" name="Column2" dataDxfId="41">
      <calculatedColumnFormula>Table135[[#This Row],[Column1]]*VALUE(SUBSTITUTE(LEFT(Table135[[#This Row],[normal price/real milage]],3),",",""))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645E88-BA97-4C14-8A63-8F25C17DEC6D}" name="Table13" displayName="Table13" ref="A1:M85" totalsRowShown="0">
  <autoFilter ref="A1:M85" xr:uid="{2A809D2C-3A0A-4AB6-80DE-3AA7CFE58979}"/>
  <sortState xmlns:xlrd2="http://schemas.microsoft.com/office/spreadsheetml/2017/richdata2" ref="A2:M85">
    <sortCondition descending="1" ref="M1:M85"/>
  </sortState>
  <tableColumns count="13">
    <tableColumn id="9" xr3:uid="{E629FEE4-7B5A-404A-8FEA-E229944870AF}" name="Date"/>
    <tableColumn id="1" xr3:uid="{C972F68D-7199-442F-81AB-1F84BF8EA671}" name="ID"/>
    <tableColumn id="2" xr3:uid="{0D34D358-8F3C-4B27-89F5-0A2AAA3F1CF5}" name="Price"/>
    <tableColumn id="3" xr3:uid="{37023E16-FDBE-453B-B3A5-6813FF9C3AEA}" name="year"/>
    <tableColumn id="4" xr3:uid="{6EA753DA-56BA-480D-83BF-5A8DE38B1C7B}" name="Model"/>
    <tableColumn id="5" xr3:uid="{D8132DC9-21D0-4EB2-B48F-6D899BF91912}" name="City"/>
    <tableColumn id="6" xr3:uid="{62F011E1-008D-4092-8C81-A15CDA5708CC}" name="Mileage"/>
    <tableColumn id="7" xr3:uid="{60D10A8A-4EB7-474C-904C-ABC9870174AF}" name="price/mileage" dataDxfId="38">
      <calculatedColumnFormula>Table13[[#This Row],[Price]]/Table13[[#This Row],[Mileage]]</calculatedColumnFormula>
    </tableColumn>
    <tableColumn id="8" xr3:uid="{BC6B7AD3-6751-4178-BEB0-14B5D40AF91D}" name="Price/age" dataDxfId="37">
      <calculatedColumnFormula>Table13[[#This Row],[Price]]/Table13[[#This Row],[Age]]</calculatedColumnFormula>
    </tableColumn>
    <tableColumn id="10" xr3:uid="{9BB064BE-242C-4F86-B4BD-26D419587AC1}" name="Age" dataDxfId="36">
      <calculatedColumnFormula>IF(YEAR(TODAY())=Table13[[#This Row],[year]],0.8,YEAR(TODAY())-Table13[[#This Row],[year]])</calculatedColumnFormula>
    </tableColumn>
    <tableColumn id="11" xr3:uid="{1E0C0452-439A-4E50-BDAB-C2C47F35EDC5}" name="normal price/real milage" dataDxfId="35">
      <calculatedColumnFormula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calculatedColumnFormula>
    </tableColumn>
    <tableColumn id="12" xr3:uid="{BEC5347F-7311-45EF-BE11-1C17F7658D9E}" name="Column1" dataDxfId="34">
      <calculatedColumnFormula array="1">EXP(INDEX(LINEST(LN(Table13[Price]),Table13[Age]),1,2))*EXP(INDEX(LINEST(LN(Table13[Price]),Table13[Age]),1,1)*Table13[[#This Row],[Age]])/Table13[[#This Row],[Price]]</calculatedColumnFormula>
    </tableColumn>
    <tableColumn id="13" xr3:uid="{0B853369-BCA8-4A0A-9D3F-D8DF714C24BA}" name="Column2" dataDxfId="33">
      <calculatedColumnFormula>Table13[[#This Row],[Column1]]*VALUE(SUBSTITUTE(LEFT(Table13[[#This Row],[normal price/real milage]],3),",",""))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9BA43C-2980-4E6D-818E-92F5BE510137}" name="Table134" displayName="Table134" ref="A1:M71" totalsRowShown="0">
  <autoFilter ref="A1:M71" xr:uid="{2A809D2C-3A0A-4AB6-80DE-3AA7CFE58979}"/>
  <sortState xmlns:xlrd2="http://schemas.microsoft.com/office/spreadsheetml/2017/richdata2" ref="A2:M70">
    <sortCondition descending="1" ref="M1:M70"/>
  </sortState>
  <tableColumns count="13">
    <tableColumn id="9" xr3:uid="{DF16985E-32DC-4625-AA5E-6CA990ED1A60}" name="Date"/>
    <tableColumn id="1" xr3:uid="{F8F9BB95-D75E-4AA4-A7E5-B033D20889E2}" name="ID"/>
    <tableColumn id="2" xr3:uid="{CDDC5B62-7D27-4AB7-B701-618EAFEA8A67}" name="Price" dataDxfId="30" dataCellStyle="Comma"/>
    <tableColumn id="3" xr3:uid="{D0788BEA-D289-4C99-8344-7B0863B56187}" name="year"/>
    <tableColumn id="4" xr3:uid="{22D2CFB6-941B-4FE5-97C5-A1973FEF58DA}" name="Model"/>
    <tableColumn id="5" xr3:uid="{2903DFCE-FDF8-42BA-A3C5-A5DC779C8A2C}" name="City"/>
    <tableColumn id="6" xr3:uid="{4404CC59-EA47-42B5-93A2-448331687454}" name="Mileage"/>
    <tableColumn id="7" xr3:uid="{DBCB1DE0-CE6C-4A30-A615-359FF9BC2BDB}" name="price/mileage" dataDxfId="29">
      <calculatedColumnFormula>Table134[[#This Row],[Price]]/Table134[[#This Row],[Mileage]]</calculatedColumnFormula>
    </tableColumn>
    <tableColumn id="8" xr3:uid="{B04AA1D1-0744-464B-B4B6-F0B103DBA23C}" name="Price/age" dataDxfId="28">
      <calculatedColumnFormula>Table134[[#This Row],[Price]]/Table134[[#This Row],[Age]]</calculatedColumnFormula>
    </tableColumn>
    <tableColumn id="10" xr3:uid="{DFF1D5FD-0CC2-47EB-A353-49CD1699EBCA}" name="Age" dataDxfId="27">
      <calculatedColumnFormula>IF(YEAR(TODAY())=Table134[[#This Row],[year]],0.8,YEAR(TODAY())-Table134[[#This Row],[year]])</calculatedColumnFormula>
    </tableColumn>
    <tableColumn id="11" xr3:uid="{E3742543-9F28-4BE0-BE36-B83F94259661}" name="normal price/real milage" dataDxfId="26">
      <calculatedColumnFormula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calculatedColumnFormula>
    </tableColumn>
    <tableColumn id="12" xr3:uid="{2B17EC21-66FF-4453-909D-10701F7AF6C7}" name="Column1" dataDxfId="25">
      <calculatedColumnFormula array="1">EXP(INDEX(LINEST(LN(Table134[Price]),Table134[Age]),1,2))*EXP(INDEX(LINEST(LN(Table134[Price]),Table134[Age]),1,1)*Table134[[#This Row],[Age]])/Table134[[#This Row],[Price]]</calculatedColumnFormula>
    </tableColumn>
    <tableColumn id="13" xr3:uid="{23AEA8B4-CC29-4AE4-A281-3975FDF202DE}" name="Column2" dataDxfId="24">
      <calculatedColumnFormula>Table134[[#This Row],[Column1]]*VALUE(SUBSTITUTE(LEFT(Table134[[#This Row],[normal price/real milage]],3),",",""))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52299C-CA96-4A6C-AFA7-4DC4A4980EC7}" name="Table1346" displayName="Table1346" ref="A1:M123" totalsRowShown="0">
  <autoFilter ref="A1:M123" xr:uid="{2A809D2C-3A0A-4AB6-80DE-3AA7CFE58979}"/>
  <sortState xmlns:xlrd2="http://schemas.microsoft.com/office/spreadsheetml/2017/richdata2" ref="A2:M123">
    <sortCondition descending="1" ref="M1:M123"/>
  </sortState>
  <tableColumns count="13">
    <tableColumn id="9" xr3:uid="{54BE7BDF-0B66-469A-BDD7-AF31FD0641A5}" name="Date" dataDxfId="20"/>
    <tableColumn id="1" xr3:uid="{23C75510-1E9A-4749-B5D2-A237CBF35668}" name="ID"/>
    <tableColumn id="2" xr3:uid="{A76AFDD5-3B84-40D4-9CAB-A5630B6DB841}" name="Price" dataDxfId="19" dataCellStyle="Comma"/>
    <tableColumn id="3" xr3:uid="{08792214-2AFD-48B8-B188-619D600C57A7}" name="year"/>
    <tableColumn id="4" xr3:uid="{07DC7947-167B-4B86-A6C0-006F69DCAC99}" name="Model"/>
    <tableColumn id="5" xr3:uid="{473E1925-CCB6-41CF-B64C-55EB817ABD1E}" name="City"/>
    <tableColumn id="6" xr3:uid="{6E064C87-5511-4559-A060-007C0BAE0038}" name="Mileage"/>
    <tableColumn id="7" xr3:uid="{385C5426-E5C6-4249-BD98-71A20E518651}" name="price/mileage" dataDxfId="18">
      <calculatedColumnFormula>Table1346[[#This Row],[Price]]/Table1346[[#This Row],[Mileage]]</calculatedColumnFormula>
    </tableColumn>
    <tableColumn id="8" xr3:uid="{7C1592C7-6C6A-4FE5-BD36-C2B695DC4515}" name="Price/age" dataDxfId="17">
      <calculatedColumnFormula>Table1346[[#This Row],[Price]]/Table1346[[#This Row],[Age]]</calculatedColumnFormula>
    </tableColumn>
    <tableColumn id="10" xr3:uid="{CD6AF133-CF90-4DCF-B1F4-89E917E3357A}" name="Age" dataDxfId="16">
      <calculatedColumnFormula>IF(YEAR(TODAY())=Table1346[[#This Row],[year]],0.8,YEAR(TODAY())-Table1346[[#This Row],[year]])</calculatedColumnFormula>
    </tableColumn>
    <tableColumn id="11" xr3:uid="{0A617454-5784-4A70-B3E8-B746BF1DCE7B}" name="normal price/real milage" dataDxfId="15">
      <calculatedColumnFormula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calculatedColumnFormula>
    </tableColumn>
    <tableColumn id="12" xr3:uid="{D8685C56-F7DF-4FCA-8961-D3E7D43CDA73}" name="Column1" dataDxfId="14">
      <calculatedColumnFormula array="1">EXP(INDEX(LINEST(LN(Table1346[Price]),Table1346[Age]),1,2))*EXP(INDEX(LINEST(LN(Table1346[Price]),Table1346[Age]),1,1)*Table1346[[#This Row],[Age]])/Table1346[[#This Row],[Price]]</calculatedColumnFormula>
    </tableColumn>
    <tableColumn id="13" xr3:uid="{67E67077-D8B2-4A83-A8BB-A03B129FF80A}" name="Column2" dataDxfId="13">
      <calculatedColumnFormula>Table1346[[#This Row],[Column1]]*VALUE(SUBSTITUTE(LEFT(Table1346[[#This Row],[normal price/real milage]],3),",",""))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63AEBDC-BCFE-4E17-A493-3C1D7BCB0F71}" name="Table13467" displayName="Table13467" ref="A1:N137" totalsRowShown="0">
  <autoFilter ref="A1:N137" xr:uid="{2A809D2C-3A0A-4AB6-80DE-3AA7CFE58979}"/>
  <sortState xmlns:xlrd2="http://schemas.microsoft.com/office/spreadsheetml/2017/richdata2" ref="A2:N137">
    <sortCondition descending="1" ref="N1:N137"/>
  </sortState>
  <tableColumns count="14">
    <tableColumn id="9" xr3:uid="{7AF91B6C-BB21-4B7E-B460-002C19CCD37C}" name="Date" dataDxfId="8"/>
    <tableColumn id="1" xr3:uid="{5651B145-824F-48A0-B043-093EB779467B}" name="ID"/>
    <tableColumn id="2" xr3:uid="{B2975973-DA1F-4020-820B-30E81CE97732}" name="Price" dataDxfId="7" dataCellStyle="Comma"/>
    <tableColumn id="3" xr3:uid="{EEAE8845-FB62-4079-BF50-5253701BB0B1}" name="year"/>
    <tableColumn id="4" xr3:uid="{252D87AE-37C3-4EF3-82E7-C1D1C3C159A9}" name="Model"/>
    <tableColumn id="5" xr3:uid="{7A266A1C-7D15-4929-ABA8-11831340E591}" name="City"/>
    <tableColumn id="6" xr3:uid="{97E8467F-574C-4722-8A83-F303EBF3CA8F}" name="Mileage"/>
    <tableColumn id="7" xr3:uid="{D26DF3F4-8FAB-4A9A-A76E-22338E1D3D56}" name="price/mileage" dataDxfId="6">
      <calculatedColumnFormula>Table13467[[#This Row],[Price]]/Table13467[[#This Row],[Mileage]]</calculatedColumnFormula>
    </tableColumn>
    <tableColumn id="8" xr3:uid="{22ED52B7-F5D5-460C-99D4-7D2755EC4FF0}" name="Price/age" dataDxfId="5">
      <calculatedColumnFormula>Table13467[[#This Row],[Price]]/Table13467[[#This Row],[Age]]</calculatedColumnFormula>
    </tableColumn>
    <tableColumn id="15" xr3:uid="{C23DB440-1FCE-4E36-8893-B5DF04F7C579}" name="Age/mile" dataDxfId="4">
      <calculatedColumnFormula>Table13467[[#This Row],[Price/age]]/Table13467[[#This Row],[price/mileage]]</calculatedColumnFormula>
    </tableColumn>
    <tableColumn id="10" xr3:uid="{33BED805-1708-493B-8615-1862DFC54025}" name="Age" dataDxfId="3">
      <calculatedColumnFormula>IF(YEAR(TODAY())=Table13467[[#This Row],[year]],0.8,YEAR(TODAY())-Table13467[[#This Row],[year]])</calculatedColumnFormula>
    </tableColumn>
    <tableColumn id="11" xr3:uid="{5F3E905D-E509-497B-9DBE-72BDD9F7CE97}" name="normal price/real milage" dataDxfId="2">
      <calculatedColumnFormula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calculatedColumnFormula>
    </tableColumn>
    <tableColumn id="12" xr3:uid="{C5E39AD1-BC2E-4C3F-802A-55EEC3C49C70}" name="Column1" dataDxfId="1">
      <calculatedColumnFormula array="1">EXP(INDEX(LINEST(LN(Table13467[Price]),Table13467[Age]),1,2))*EXP(INDEX(LINEST(LN(Table13467[Price]),Table13467[Age]),1,1)*Table13467[[#This Row],[Age]])/Table13467[[#This Row],[Price]]</calculatedColumnFormula>
    </tableColumn>
    <tableColumn id="13" xr3:uid="{27417EB2-5B28-4FE8-AFF5-82DB750CAB3C}" name="Column2" dataDxfId="0">
      <calculatedColumnFormula>Table13467[[#This Row],[Column1]]*VALUE(SUBSTITUTE(LEFT(Table13467[[#This Row],[normal price/real milage]],3),",",""))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5D1C-5508-462D-9A55-ADE511C54552}">
  <sheetPr codeName="Sheet1"/>
  <dimension ref="A1:R119"/>
  <sheetViews>
    <sheetView tabSelected="1" topLeftCell="A43" zoomScale="85" zoomScaleNormal="85" workbookViewId="0">
      <selection activeCell="F25" sqref="F25"/>
    </sheetView>
  </sheetViews>
  <sheetFormatPr defaultRowHeight="15" x14ac:dyDescent="0.25"/>
  <cols>
    <col min="1" max="1" width="9.7109375" bestFit="1" customWidth="1"/>
    <col min="2" max="2" width="5.140625" bestFit="1" customWidth="1"/>
    <col min="3" max="3" width="8" bestFit="1" customWidth="1"/>
    <col min="4" max="4" width="7.140625" bestFit="1" customWidth="1"/>
    <col min="5" max="5" width="28.85546875" customWidth="1"/>
    <col min="6" max="6" width="22.5703125" customWidth="1"/>
    <col min="7" max="7" width="10.5703125" bestFit="1" customWidth="1"/>
    <col min="8" max="8" width="15.85546875" customWidth="1"/>
    <col min="9" max="9" width="11.7109375" bestFit="1" customWidth="1"/>
    <col min="10" max="10" width="6.7109375" bestFit="1" customWidth="1"/>
    <col min="11" max="11" width="25" bestFit="1" customWidth="1"/>
    <col min="12" max="14" width="11.7109375" customWidth="1"/>
    <col min="15" max="15" width="12.7109375" bestFit="1" customWidth="1"/>
    <col min="16" max="16" width="9.28515625" bestFit="1" customWidth="1"/>
  </cols>
  <sheetData>
    <row r="1" spans="1:18" x14ac:dyDescent="0.25">
      <c r="A1" t="s">
        <v>27</v>
      </c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32</v>
      </c>
      <c r="J1" t="s">
        <v>31</v>
      </c>
      <c r="K1" t="s">
        <v>48</v>
      </c>
      <c r="L1" t="s">
        <v>25</v>
      </c>
      <c r="M1" t="s">
        <v>49</v>
      </c>
    </row>
    <row r="2" spans="1:18" x14ac:dyDescent="0.25">
      <c r="A2" s="1">
        <v>45077</v>
      </c>
      <c r="B2">
        <v>51</v>
      </c>
      <c r="C2" s="5">
        <v>5999</v>
      </c>
      <c r="D2">
        <v>2012</v>
      </c>
      <c r="E2" t="s">
        <v>0</v>
      </c>
      <c r="F2" t="s">
        <v>12</v>
      </c>
      <c r="G2">
        <v>155000</v>
      </c>
      <c r="H2" s="2">
        <f>Table135[[#This Row],[Price]]/Table135[[#This Row],[Mileage]]</f>
        <v>3.8703225806451615E-2</v>
      </c>
      <c r="I2" s="3">
        <f ca="1">Table135[[#This Row],[Price]]/Table135[[#This Row],[Age]]</f>
        <v>545.36363636363637</v>
      </c>
      <c r="J2">
        <f ca="1">IF(YEAR(TODAY())=Table135[[#This Row],[year]],0.8,YEAR(TODAY())-Table135[[#This Row],[year]])</f>
        <v>11</v>
      </c>
      <c r="K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2.379      8,273</v>
      </c>
      <c r="L2" s="4">
        <f t="array" aca="1" ref="L2" ca="1">EXP(INDEX(LINEST(LN(Table135[Price]),Table135[Age]),1,2))*EXP(INDEX(LINEST(LN(Table135[Price]),Table135[Age]),1,1)*Table135[[#This Row],[Age]])/Table135[[#This Row],[Price]]</f>
        <v>1.5856645064413957</v>
      </c>
      <c r="M2" s="4">
        <f ca="1">Table135[[#This Row],[Column1]]*VALUE(SUBSTITUTE(LEFT(Table135[[#This Row],[normal price/real milage]],3),",",""))</f>
        <v>3.6470283648152098</v>
      </c>
      <c r="N2" s="4"/>
      <c r="O2">
        <f t="array" ref="O2:P2">LINEST(LN(Table135[Price]),Table135[Mileage])</f>
        <v>-7.4159261252339101E-6</v>
      </c>
      <c r="P2">
        <v>10.61718057975102</v>
      </c>
      <c r="R2">
        <f>INDEX(LINEST(Table135[Price],Table135[Mileage]),1,1)</f>
        <v>-0.13360742180732646</v>
      </c>
    </row>
    <row r="3" spans="1:18" x14ac:dyDescent="0.25">
      <c r="A3" s="1">
        <v>45077</v>
      </c>
      <c r="B3">
        <v>16</v>
      </c>
      <c r="C3" s="5">
        <v>7900</v>
      </c>
      <c r="D3">
        <v>2012</v>
      </c>
      <c r="E3" t="s">
        <v>0</v>
      </c>
      <c r="F3" t="s">
        <v>1</v>
      </c>
      <c r="G3">
        <v>136000</v>
      </c>
      <c r="H3" s="2">
        <f>Table135[[#This Row],[Price]]/Table135[[#This Row],[Mileage]]</f>
        <v>5.8088235294117649E-2</v>
      </c>
      <c r="I3" s="3">
        <f ca="1">Table135[[#This Row],[Price]]/Table135[[#This Row],[Age]]</f>
        <v>718.18181818181813</v>
      </c>
      <c r="J3">
        <f ca="1">IF(YEAR(TODAY())=Table135[[#This Row],[year]],0.8,YEAR(TODAY())-Table135[[#This Row],[year]])</f>
        <v>11</v>
      </c>
      <c r="K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2.128      8,911</v>
      </c>
      <c r="L3" s="4">
        <f t="array" aca="1" ref="L3" ca="1">EXP(INDEX(LINEST(LN(Table135[Price]),Table135[Age]),1,2))*EXP(INDEX(LINEST(LN(Table135[Price]),Table135[Age]),1,1)*Table135[[#This Row],[Age]])/Table135[[#This Row],[Price]]</f>
        <v>1.2041014397648016</v>
      </c>
      <c r="M3" s="4">
        <f ca="1">Table135[[#This Row],[Column1]]*VALUE(SUBSTITUTE(LEFT(Table135[[#This Row],[normal price/real milage]],3),",",""))</f>
        <v>2.5286130235060833</v>
      </c>
      <c r="N3" s="4"/>
    </row>
    <row r="4" spans="1:18" x14ac:dyDescent="0.25">
      <c r="A4" s="1">
        <v>45077</v>
      </c>
      <c r="B4">
        <v>93</v>
      </c>
      <c r="C4" s="5">
        <v>7000</v>
      </c>
      <c r="D4">
        <v>2013</v>
      </c>
      <c r="E4" t="s">
        <v>0</v>
      </c>
      <c r="F4" t="s">
        <v>18</v>
      </c>
      <c r="G4">
        <v>180000</v>
      </c>
      <c r="H4" s="2">
        <f>Table135[[#This Row],[Price]]/Table135[[#This Row],[Mileage]]</f>
        <v>3.888888888888889E-2</v>
      </c>
      <c r="I4" s="3">
        <f ca="1">Table135[[#This Row],[Price]]/Table135[[#This Row],[Age]]</f>
        <v>700</v>
      </c>
      <c r="J4">
        <f ca="1">IF(YEAR(TODAY())=Table135[[#This Row],[year]],0.8,YEAR(TODAY())-Table135[[#This Row],[year]])</f>
        <v>10</v>
      </c>
      <c r="K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1.562      3,932</v>
      </c>
      <c r="L4" s="4">
        <f t="array" aca="1" ref="L4" ca="1">EXP(INDEX(LINEST(LN(Table135[Price]),Table135[Age]),1,2))*EXP(INDEX(LINEST(LN(Table135[Price]),Table135[Age]),1,1)*Table135[[#This Row],[Age]])/Table135[[#This Row],[Price]]</f>
        <v>1.5727681882827009</v>
      </c>
      <c r="M4" s="4">
        <f ca="1">Table135[[#This Row],[Column1]]*VALUE(SUBSTITUTE(LEFT(Table135[[#This Row],[normal price/real milage]],3),",",""))</f>
        <v>2.3591522824240512</v>
      </c>
      <c r="N4" s="4"/>
    </row>
    <row r="5" spans="1:18" x14ac:dyDescent="0.25">
      <c r="A5" s="1">
        <v>45077</v>
      </c>
      <c r="B5">
        <v>34</v>
      </c>
      <c r="C5" s="5">
        <v>6800</v>
      </c>
      <c r="D5">
        <v>2011</v>
      </c>
      <c r="E5" t="s">
        <v>0</v>
      </c>
      <c r="F5" t="s">
        <v>1</v>
      </c>
      <c r="G5">
        <v>175000</v>
      </c>
      <c r="H5" s="2">
        <f>Table135[[#This Row],[Price]]/Table135[[#This Row],[Mileage]]</f>
        <v>3.8857142857142854E-2</v>
      </c>
      <c r="I5" s="3">
        <f ca="1">Table135[[#This Row],[Price]]/Table135[[#This Row],[Age]]</f>
        <v>566.66666666666663</v>
      </c>
      <c r="J5">
        <f ca="1">IF(YEAR(TODAY())=Table135[[#This Row],[year]],0.8,YEAR(TODAY())-Table135[[#This Row],[year]])</f>
        <v>12</v>
      </c>
      <c r="K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1.706      4,800</v>
      </c>
      <c r="L5" s="4">
        <f t="array" aca="1" ref="L5" ca="1">EXP(INDEX(LINEST(LN(Table135[Price]),Table135[Age]),1,2))*EXP(INDEX(LINEST(LN(Table135[Price]),Table135[Age]),1,1)*Table135[[#This Row],[Age]])/Table135[[#This Row],[Price]]</f>
        <v>1.2086725665141036</v>
      </c>
      <c r="M5" s="4">
        <f ca="1">Table135[[#This Row],[Column1]]*VALUE(SUBSTITUTE(LEFT(Table135[[#This Row],[normal price/real milage]],3),",",""))</f>
        <v>2.054743363073976</v>
      </c>
      <c r="N5" s="4"/>
    </row>
    <row r="6" spans="1:18" x14ac:dyDescent="0.25">
      <c r="A6" s="1">
        <v>45077</v>
      </c>
      <c r="B6">
        <v>5</v>
      </c>
      <c r="C6" s="5">
        <v>9500</v>
      </c>
      <c r="D6">
        <v>2014</v>
      </c>
      <c r="E6" t="s">
        <v>0</v>
      </c>
      <c r="F6" t="s">
        <v>1</v>
      </c>
      <c r="G6">
        <v>140000</v>
      </c>
      <c r="H6" s="2">
        <f>Table135[[#This Row],[Price]]/Table135[[#This Row],[Mileage]]</f>
        <v>6.7857142857142852E-2</v>
      </c>
      <c r="I6" s="3">
        <f ca="1">Table135[[#This Row],[Price]]/Table135[[#This Row],[Age]]</f>
        <v>1055.5555555555557</v>
      </c>
      <c r="J6">
        <f ca="1">IF(YEAR(TODAY())=Table135[[#This Row],[year]],0.8,YEAR(TODAY())-Table135[[#This Row],[year]])</f>
        <v>9</v>
      </c>
      <c r="K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1.713      6,776</v>
      </c>
      <c r="L6" s="4">
        <f t="array" aca="1" ref="L6" ca="1">EXP(INDEX(LINEST(LN(Table135[Price]),Table135[Age]),1,2))*EXP(INDEX(LINEST(LN(Table135[Price]),Table135[Age]),1,1)*Table135[[#This Row],[Age]])/Table135[[#This Row],[Price]]</f>
        <v>1.3412561932502822</v>
      </c>
      <c r="M6" s="4">
        <f ca="1">Table135[[#This Row],[Column1]]*VALUE(SUBSTITUTE(LEFT(Table135[[#This Row],[normal price/real milage]],3),",",""))</f>
        <v>2.2801355285254798</v>
      </c>
      <c r="N6" s="4"/>
    </row>
    <row r="7" spans="1:18" x14ac:dyDescent="0.25">
      <c r="A7" s="1">
        <v>45077</v>
      </c>
      <c r="B7">
        <v>79</v>
      </c>
      <c r="C7" s="5">
        <v>9999</v>
      </c>
      <c r="D7">
        <v>2010</v>
      </c>
      <c r="E7" t="s">
        <v>0</v>
      </c>
      <c r="F7" t="s">
        <v>7</v>
      </c>
      <c r="G7">
        <v>96000</v>
      </c>
      <c r="H7" s="4">
        <f>Table135[[#This Row],[Price]]/Table135[[#This Row],[Mileage]]</f>
        <v>0.10415625000000001</v>
      </c>
      <c r="I7" s="3">
        <f ca="1">Table135[[#This Row],[Price]]/Table135[[#This Row],[Age]]</f>
        <v>769.15384615384619</v>
      </c>
      <c r="J7">
        <f ca="1">IF(YEAR(TODAY())=Table135[[#This Row],[year]],0.8,YEAR(TODAY())-Table135[[#This Row],[year]])</f>
        <v>13</v>
      </c>
      <c r="K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2.216      12,156</v>
      </c>
      <c r="L7" s="4">
        <f t="array" aca="1" ref="L7" ca="1">EXP(INDEX(LINEST(LN(Table135[Price]),Table135[Age]),1,2))*EXP(INDEX(LINEST(LN(Table135[Price]),Table135[Age]),1,1)*Table135[[#This Row],[Age]])/Table135[[#This Row],[Price]]</f>
        <v>0.71021267690864986</v>
      </c>
      <c r="M7" s="4">
        <f ca="1">Table135[[#This Row],[Column1]]*VALUE(SUBSTITUTE(LEFT(Table135[[#This Row],[normal price/real milage]],3),",",""))</f>
        <v>1.5624678891990298</v>
      </c>
      <c r="N7" s="4"/>
    </row>
    <row r="8" spans="1:18" x14ac:dyDescent="0.25">
      <c r="A8" s="1">
        <v>45077</v>
      </c>
      <c r="B8">
        <v>46</v>
      </c>
      <c r="C8" s="5">
        <v>8495</v>
      </c>
      <c r="D8">
        <v>2011</v>
      </c>
      <c r="E8" t="s">
        <v>0</v>
      </c>
      <c r="F8" t="s">
        <v>7</v>
      </c>
      <c r="G8">
        <v>165000</v>
      </c>
      <c r="H8" s="2">
        <f>Table135[[#This Row],[Price]]/Table135[[#This Row],[Mileage]]</f>
        <v>5.1484848484848487E-2</v>
      </c>
      <c r="I8" s="3">
        <f ca="1">Table135[[#This Row],[Price]]/Table135[[#This Row],[Age]]</f>
        <v>707.91666666666663</v>
      </c>
      <c r="J8">
        <f ca="1">IF(YEAR(TODAY())=Table135[[#This Row],[year]],0.8,YEAR(TODAY())-Table135[[#This Row],[year]])</f>
        <v>12</v>
      </c>
      <c r="K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1.523      4,441</v>
      </c>
      <c r="L8" s="4">
        <f t="array" aca="1" ref="L8" ca="1">EXP(INDEX(LINEST(LN(Table135[Price]),Table135[Age]),1,2))*EXP(INDEX(LINEST(LN(Table135[Price]),Table135[Age]),1,1)*Table135[[#This Row],[Age]])/Table135[[#This Row],[Price]]</f>
        <v>0.96750717507897632</v>
      </c>
      <c r="M8" s="4">
        <f ca="1">Table135[[#This Row],[Column1]]*VALUE(SUBSTITUTE(LEFT(Table135[[#This Row],[normal price/real milage]],3),",",""))</f>
        <v>1.4512607626184644</v>
      </c>
      <c r="N8" s="4"/>
    </row>
    <row r="9" spans="1:18" x14ac:dyDescent="0.25">
      <c r="A9" s="1">
        <v>45077</v>
      </c>
      <c r="B9">
        <v>38</v>
      </c>
      <c r="C9" s="5">
        <v>14000</v>
      </c>
      <c r="D9">
        <v>2014</v>
      </c>
      <c r="E9" t="s">
        <v>0</v>
      </c>
      <c r="F9" t="s">
        <v>1</v>
      </c>
      <c r="G9">
        <v>70000</v>
      </c>
      <c r="H9" s="2">
        <f>Table135[[#This Row],[Price]]/Table135[[#This Row],[Mileage]]</f>
        <v>0.2</v>
      </c>
      <c r="I9" s="3">
        <f ca="1">Table135[[#This Row],[Price]]/Table135[[#This Row],[Age]]</f>
        <v>1555.5555555555557</v>
      </c>
      <c r="J9">
        <f ca="1">IF(YEAR(TODAY())=Table135[[#This Row],[year]],0.8,YEAR(TODAY())-Table135[[#This Row],[year]])</f>
        <v>9</v>
      </c>
      <c r="K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1.831      11,629</v>
      </c>
      <c r="L9" s="4">
        <f t="array" aca="1" ref="L9" ca="1">EXP(INDEX(LINEST(LN(Table135[Price]),Table135[Age]),1,2))*EXP(INDEX(LINEST(LN(Table135[Price]),Table135[Age]),1,1)*Table135[[#This Row],[Age]])/Table135[[#This Row],[Price]]</f>
        <v>0.91013813113412001</v>
      </c>
      <c r="M9" s="4">
        <f ca="1">Table135[[#This Row],[Column1]]*VALUE(SUBSTITUTE(LEFT(Table135[[#This Row],[normal price/real milage]],3),",",""))</f>
        <v>1.6382486360414161</v>
      </c>
      <c r="N9" s="4"/>
    </row>
    <row r="10" spans="1:18" x14ac:dyDescent="0.25">
      <c r="A10" s="1">
        <v>45077</v>
      </c>
      <c r="B10">
        <v>4</v>
      </c>
      <c r="C10" s="5">
        <v>11990</v>
      </c>
      <c r="D10">
        <v>2013</v>
      </c>
      <c r="E10" t="s">
        <v>0</v>
      </c>
      <c r="F10" t="s">
        <v>1</v>
      </c>
      <c r="G10">
        <v>112000</v>
      </c>
      <c r="H10" s="2">
        <f>Table135[[#This Row],[Price]]/Table135[[#This Row],[Mileage]]</f>
        <v>0.10705357142857143</v>
      </c>
      <c r="I10" s="3">
        <f ca="1">Table135[[#This Row],[Price]]/Table135[[#This Row],[Age]]</f>
        <v>1199</v>
      </c>
      <c r="J10">
        <f ca="1">IF(YEAR(TODAY())=Table135[[#This Row],[year]],0.8,YEAR(TODAY())-Table135[[#This Row],[year]])</f>
        <v>10</v>
      </c>
      <c r="K1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1.669      8,027</v>
      </c>
      <c r="L10" s="4">
        <f t="array" aca="1" ref="L10" ca="1">EXP(INDEX(LINEST(LN(Table135[Price]),Table135[Age]),1,2))*EXP(INDEX(LINEST(LN(Table135[Price]),Table135[Age]),1,1)*Table135[[#This Row],[Age]])/Table135[[#This Row],[Price]]</f>
        <v>0.91821328757121823</v>
      </c>
      <c r="M10" s="4">
        <f ca="1">Table135[[#This Row],[Column1]]*VALUE(SUBSTITUTE(LEFT(Table135[[#This Row],[normal price/real milage]],3),",",""))</f>
        <v>1.4691412601139493</v>
      </c>
      <c r="N10" s="4"/>
    </row>
    <row r="11" spans="1:18" x14ac:dyDescent="0.25">
      <c r="A11" s="1">
        <v>45077</v>
      </c>
      <c r="B11">
        <v>1</v>
      </c>
      <c r="C11" s="5">
        <v>11995</v>
      </c>
      <c r="D11">
        <v>2013</v>
      </c>
      <c r="E11" t="s">
        <v>0</v>
      </c>
      <c r="F11" t="s">
        <v>1</v>
      </c>
      <c r="G11">
        <v>112000</v>
      </c>
      <c r="H11" s="2">
        <f>Table135[[#This Row],[Price]]/Table135[[#This Row],[Mileage]]</f>
        <v>0.10709821428571428</v>
      </c>
      <c r="I11" s="3">
        <f ca="1">Table135[[#This Row],[Price]]/Table135[[#This Row],[Age]]</f>
        <v>1199.5</v>
      </c>
      <c r="J11">
        <f ca="1">IF(YEAR(TODAY())=Table135[[#This Row],[year]],0.8,YEAR(TODAY())-Table135[[#This Row],[year]])</f>
        <v>10</v>
      </c>
      <c r="K1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1.669      8,022</v>
      </c>
      <c r="L11" s="4">
        <f t="array" aca="1" ref="L11" ca="1">EXP(INDEX(LINEST(LN(Table135[Price]),Table135[Age]),1,2))*EXP(INDEX(LINEST(LN(Table135[Price]),Table135[Age]),1,1)*Table135[[#This Row],[Age]])/Table135[[#This Row],[Price]]</f>
        <v>0.91783053922291835</v>
      </c>
      <c r="M11" s="4">
        <f ca="1">Table135[[#This Row],[Column1]]*VALUE(SUBSTITUTE(LEFT(Table135[[#This Row],[normal price/real milage]],3),",",""))</f>
        <v>1.4685288627566695</v>
      </c>
      <c r="N11" s="4"/>
    </row>
    <row r="12" spans="1:18" x14ac:dyDescent="0.25">
      <c r="A12" s="1">
        <v>45077</v>
      </c>
      <c r="B12">
        <v>11</v>
      </c>
      <c r="C12" s="5">
        <v>8500</v>
      </c>
      <c r="D12">
        <v>2015</v>
      </c>
      <c r="E12" t="s">
        <v>0</v>
      </c>
      <c r="F12" t="s">
        <v>1</v>
      </c>
      <c r="G12">
        <v>203000</v>
      </c>
      <c r="H12" s="4">
        <f>Table135[[#This Row],[Price]]/Table135[[#This Row],[Mileage]]</f>
        <v>4.1871921182266007E-2</v>
      </c>
      <c r="I12" s="3">
        <f ca="1">Table135[[#This Row],[Price]]/Table135[[#This Row],[Age]]</f>
        <v>1062.5</v>
      </c>
      <c r="J12">
        <f ca="1">IF(YEAR(TODAY())=Table135[[#This Row],[year]],0.8,YEAR(TODAY())-Table135[[#This Row],[year]])</f>
        <v>8</v>
      </c>
      <c r="K1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0.925      -641</v>
      </c>
      <c r="L12" s="4">
        <f t="array" aca="1" ref="L12" ca="1">EXP(INDEX(LINEST(LN(Table135[Price]),Table135[Age]),1,2))*EXP(INDEX(LINEST(LN(Table135[Price]),Table135[Age]),1,1)*Table135[[#This Row],[Age]])/Table135[[#This Row],[Price]]</f>
        <v>1.7349581734210711</v>
      </c>
      <c r="M12" s="4">
        <f ca="1">Table135[[#This Row],[Column1]]*VALUE(SUBSTITUTE(LEFT(Table135[[#This Row],[normal price/real milage]],3),",",""))</f>
        <v>1.561462356078964</v>
      </c>
      <c r="N12" s="4"/>
    </row>
    <row r="13" spans="1:18" x14ac:dyDescent="0.25">
      <c r="A13" s="1">
        <v>45077</v>
      </c>
      <c r="B13">
        <v>12</v>
      </c>
      <c r="C13" s="5">
        <v>13000</v>
      </c>
      <c r="D13">
        <v>2014</v>
      </c>
      <c r="E13" t="s">
        <v>0</v>
      </c>
      <c r="F13" t="s">
        <v>1</v>
      </c>
      <c r="G13">
        <v>111000</v>
      </c>
      <c r="H13" s="2">
        <f>Table135[[#This Row],[Price]]/Table135[[#This Row],[Mileage]]</f>
        <v>0.11711711711711711</v>
      </c>
      <c r="I13" s="3">
        <f ca="1">Table135[[#This Row],[Price]]/Table135[[#This Row],[Age]]</f>
        <v>1444.4444444444443</v>
      </c>
      <c r="J13">
        <f ca="1">IF(YEAR(TODAY())=Table135[[#This Row],[year]],0.8,YEAR(TODAY())-Table135[[#This Row],[year]])</f>
        <v>9</v>
      </c>
      <c r="K1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1.550      7,151</v>
      </c>
      <c r="L13" s="4">
        <f t="array" aca="1" ref="L13" ca="1">EXP(INDEX(LINEST(LN(Table135[Price]),Table135[Age]),1,2))*EXP(INDEX(LINEST(LN(Table135[Price]),Table135[Age]),1,1)*Table135[[#This Row],[Age]])/Table135[[#This Row],[Price]]</f>
        <v>0.98014875660597545</v>
      </c>
      <c r="M13" s="4">
        <f ca="1">Table135[[#This Row],[Column1]]*VALUE(SUBSTITUTE(LEFT(Table135[[#This Row],[normal price/real milage]],3),",",""))</f>
        <v>1.4702231349089632</v>
      </c>
      <c r="N13" s="4"/>
    </row>
    <row r="14" spans="1:18" x14ac:dyDescent="0.25">
      <c r="A14" s="1">
        <v>45077</v>
      </c>
      <c r="B14">
        <v>42</v>
      </c>
      <c r="C14" s="5">
        <v>7999</v>
      </c>
      <c r="D14">
        <v>2014</v>
      </c>
      <c r="E14" t="s">
        <v>0</v>
      </c>
      <c r="F14" t="s">
        <v>7</v>
      </c>
      <c r="G14">
        <v>211000</v>
      </c>
      <c r="H14" s="2">
        <f>Table135[[#This Row],[Price]]/Table135[[#This Row],[Mileage]]</f>
        <v>3.7909952606635072E-2</v>
      </c>
      <c r="I14" s="3">
        <f ca="1">Table135[[#This Row],[Price]]/Table135[[#This Row],[Age]]</f>
        <v>888.77777777777783</v>
      </c>
      <c r="J14">
        <f ca="1">IF(YEAR(TODAY())=Table135[[#This Row],[year]],0.8,YEAR(TODAY())-Table135[[#This Row],[year]])</f>
        <v>9</v>
      </c>
      <c r="K1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0.849      -1,209</v>
      </c>
      <c r="L14" s="4">
        <f t="array" aca="1" ref="L14" ca="1">EXP(INDEX(LINEST(LN(Table135[Price]),Table135[Age]),1,2))*EXP(INDEX(LINEST(LN(Table135[Price]),Table135[Age]),1,1)*Table135[[#This Row],[Age]])/Table135[[#This Row],[Price]]</f>
        <v>1.5929408470905964</v>
      </c>
      <c r="M14" s="4">
        <f ca="1">Table135[[#This Row],[Column1]]*VALUE(SUBSTITUTE(LEFT(Table135[[#This Row],[normal price/real milage]],3),",",""))</f>
        <v>1.2743526776724772</v>
      </c>
      <c r="N14" s="4"/>
    </row>
    <row r="15" spans="1:18" x14ac:dyDescent="0.25">
      <c r="A15" s="1">
        <v>45077</v>
      </c>
      <c r="B15">
        <v>18</v>
      </c>
      <c r="C15" s="5">
        <v>8495</v>
      </c>
      <c r="D15">
        <v>2011</v>
      </c>
      <c r="E15" t="s">
        <v>0</v>
      </c>
      <c r="F15" t="s">
        <v>1</v>
      </c>
      <c r="G15">
        <v>180000</v>
      </c>
      <c r="H15" s="2">
        <f>Table135[[#This Row],[Price]]/Table135[[#This Row],[Mileage]]</f>
        <v>4.7194444444444442E-2</v>
      </c>
      <c r="I15" s="3">
        <f ca="1">Table135[[#This Row],[Price]]/Table135[[#This Row],[Age]]</f>
        <v>707.91666666666663</v>
      </c>
      <c r="J15">
        <f ca="1">IF(YEAR(TODAY())=Table135[[#This Row],[year]],0.8,YEAR(TODAY())-Table135[[#This Row],[year]])</f>
        <v>12</v>
      </c>
      <c r="K1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1.287      2,437</v>
      </c>
      <c r="L15" s="4">
        <f t="array" aca="1" ref="L15" ca="1">EXP(INDEX(LINEST(LN(Table135[Price]),Table135[Age]),1,2))*EXP(INDEX(LINEST(LN(Table135[Price]),Table135[Age]),1,1)*Table135[[#This Row],[Age]])/Table135[[#This Row],[Price]]</f>
        <v>0.96750717507897632</v>
      </c>
      <c r="M15" s="4">
        <f ca="1">Table135[[#This Row],[Column1]]*VALUE(SUBSTITUTE(LEFT(Table135[[#This Row],[normal price/real milage]],3),",",""))</f>
        <v>1.1610086100947716</v>
      </c>
      <c r="N15" s="4"/>
    </row>
    <row r="16" spans="1:18" x14ac:dyDescent="0.25">
      <c r="A16" s="1">
        <v>45077</v>
      </c>
      <c r="B16">
        <v>48</v>
      </c>
      <c r="C16" s="5">
        <v>12200</v>
      </c>
      <c r="D16">
        <v>2015</v>
      </c>
      <c r="E16" t="s">
        <v>0</v>
      </c>
      <c r="F16" t="s">
        <v>1</v>
      </c>
      <c r="G16">
        <v>146000</v>
      </c>
      <c r="H16" s="4">
        <f>Table135[[#This Row],[Price]]/Table135[[#This Row],[Mileage]]</f>
        <v>8.3561643835616442E-2</v>
      </c>
      <c r="I16" s="3">
        <f ca="1">Table135[[#This Row],[Price]]/Table135[[#This Row],[Age]]</f>
        <v>1525</v>
      </c>
      <c r="J16">
        <f ca="1">IF(YEAR(TODAY())=Table135[[#This Row],[year]],0.8,YEAR(TODAY())-Table135[[#This Row],[year]])</f>
        <v>8</v>
      </c>
      <c r="K1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1.268      3,275</v>
      </c>
      <c r="L16" s="4">
        <f t="array" aca="1" ref="L16" ca="1">EXP(INDEX(LINEST(LN(Table135[Price]),Table135[Age]),1,2))*EXP(INDEX(LINEST(LN(Table135[Price]),Table135[Age]),1,1)*Table135[[#This Row],[Age]])/Table135[[#This Row],[Price]]</f>
        <v>1.2087823339409103</v>
      </c>
      <c r="M16" s="4">
        <f ca="1">Table135[[#This Row],[Column1]]*VALUE(SUBSTITUTE(LEFT(Table135[[#This Row],[normal price/real milage]],3),",",""))</f>
        <v>1.4505388007290922</v>
      </c>
      <c r="N16" s="4"/>
    </row>
    <row r="17" spans="1:14" x14ac:dyDescent="0.25">
      <c r="A17" s="1">
        <v>45077</v>
      </c>
      <c r="B17">
        <v>30</v>
      </c>
      <c r="C17" s="5">
        <v>15991</v>
      </c>
      <c r="D17">
        <v>2016</v>
      </c>
      <c r="E17" t="s">
        <v>0</v>
      </c>
      <c r="F17" t="s">
        <v>12</v>
      </c>
      <c r="G17">
        <v>92000</v>
      </c>
      <c r="H17" s="4">
        <f>Table135[[#This Row],[Price]]/Table135[[#This Row],[Mileage]]</f>
        <v>0.17381521739130434</v>
      </c>
      <c r="I17" s="3">
        <f ca="1">Table135[[#This Row],[Price]]/Table135[[#This Row],[Age]]</f>
        <v>2284.4285714285716</v>
      </c>
      <c r="J17">
        <f ca="1">IF(YEAR(TODAY())=Table135[[#This Row],[year]],0.8,YEAR(TODAY())-Table135[[#This Row],[year]])</f>
        <v>7</v>
      </c>
      <c r="K1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1.419      6,698</v>
      </c>
      <c r="L17" s="4">
        <f t="array" aca="1" ref="L17" ca="1">EXP(INDEX(LINEST(LN(Table135[Price]),Table135[Age]),1,2))*EXP(INDEX(LINEST(LN(Table135[Price]),Table135[Age]),1,1)*Table135[[#This Row],[Age]])/Table135[[#This Row],[Price]]</f>
        <v>1.0673451991242566</v>
      </c>
      <c r="M17" s="4">
        <f ca="1">Table135[[#This Row],[Column1]]*VALUE(SUBSTITUTE(LEFT(Table135[[#This Row],[normal price/real milage]],3),",",""))</f>
        <v>1.4942832787739593</v>
      </c>
      <c r="N17" s="4"/>
    </row>
    <row r="18" spans="1:14" x14ac:dyDescent="0.25">
      <c r="A18" s="1">
        <v>45077</v>
      </c>
      <c r="B18">
        <v>22</v>
      </c>
      <c r="C18" s="5">
        <v>16000</v>
      </c>
      <c r="D18">
        <v>2016</v>
      </c>
      <c r="E18" t="s">
        <v>0</v>
      </c>
      <c r="F18" t="s">
        <v>8</v>
      </c>
      <c r="G18">
        <v>90000</v>
      </c>
      <c r="H18" s="2">
        <f>Table135[[#This Row],[Price]]/Table135[[#This Row],[Mileage]]</f>
        <v>0.17777777777777778</v>
      </c>
      <c r="I18" s="3">
        <f ca="1">Table135[[#This Row],[Price]]/Table135[[#This Row],[Age]]</f>
        <v>2285.7142857142858</v>
      </c>
      <c r="J18">
        <f ca="1">IF(YEAR(TODAY())=Table135[[#This Row],[year]],0.8,YEAR(TODAY())-Table135[[#This Row],[year]])</f>
        <v>7</v>
      </c>
      <c r="K1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1.435      6,957</v>
      </c>
      <c r="L18" s="4">
        <f t="array" aca="1" ref="L18" ca="1">EXP(INDEX(LINEST(LN(Table135[Price]),Table135[Age]),1,2))*EXP(INDEX(LINEST(LN(Table135[Price]),Table135[Age]),1,1)*Table135[[#This Row],[Age]])/Table135[[#This Row],[Price]]</f>
        <v>1.0667448174497491</v>
      </c>
      <c r="M18" s="4">
        <f ca="1">Table135[[#This Row],[Column1]]*VALUE(SUBSTITUTE(LEFT(Table135[[#This Row],[normal price/real milage]],3),",",""))</f>
        <v>1.4934427444296487</v>
      </c>
      <c r="N18" s="4"/>
    </row>
    <row r="19" spans="1:14" x14ac:dyDescent="0.25">
      <c r="A19" s="1">
        <v>45077</v>
      </c>
      <c r="B19">
        <v>78</v>
      </c>
      <c r="C19" s="5">
        <v>9888</v>
      </c>
      <c r="D19">
        <v>2012</v>
      </c>
      <c r="E19" t="s">
        <v>0</v>
      </c>
      <c r="F19" t="s">
        <v>9</v>
      </c>
      <c r="G19">
        <v>164000</v>
      </c>
      <c r="H19" s="4">
        <f>Table135[[#This Row],[Price]]/Table135[[#This Row],[Mileage]]</f>
        <v>6.0292682926829266E-2</v>
      </c>
      <c r="I19" s="3">
        <f ca="1">Table135[[#This Row],[Price]]/Table135[[#This Row],[Age]]</f>
        <v>898.90909090909088</v>
      </c>
      <c r="J19">
        <f ca="1">IF(YEAR(TODAY())=Table135[[#This Row],[year]],0.8,YEAR(TODAY())-Table135[[#This Row],[year]])</f>
        <v>11</v>
      </c>
      <c r="K1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1.322      3,182</v>
      </c>
      <c r="L19" s="4">
        <f t="array" aca="1" ref="L19" ca="1">EXP(INDEX(LINEST(LN(Table135[Price]),Table135[Age]),1,2))*EXP(INDEX(LINEST(LN(Table135[Price]),Table135[Age]),1,1)*Table135[[#This Row],[Age]])/Table135[[#This Row],[Price]]</f>
        <v>0.96201470207746087</v>
      </c>
      <c r="M19" s="4">
        <f ca="1">Table135[[#This Row],[Column1]]*VALUE(SUBSTITUTE(LEFT(Table135[[#This Row],[normal price/real milage]],3),",",""))</f>
        <v>1.2506191127006991</v>
      </c>
      <c r="N19" s="4"/>
    </row>
    <row r="20" spans="1:14" x14ac:dyDescent="0.25">
      <c r="A20" s="1">
        <v>45077</v>
      </c>
      <c r="B20">
        <v>28</v>
      </c>
      <c r="C20" s="5">
        <v>8499</v>
      </c>
      <c r="D20">
        <v>2015</v>
      </c>
      <c r="E20" t="s">
        <v>0</v>
      </c>
      <c r="F20" t="s">
        <v>1</v>
      </c>
      <c r="G20">
        <v>214000</v>
      </c>
      <c r="H20" s="4">
        <f>Table135[[#This Row],[Price]]/Table135[[#This Row],[Mileage]]</f>
        <v>3.9714953271028038E-2</v>
      </c>
      <c r="I20" s="3">
        <f ca="1">Table135[[#This Row],[Price]]/Table135[[#This Row],[Age]]</f>
        <v>1062.375</v>
      </c>
      <c r="J20">
        <f ca="1">IF(YEAR(TODAY())=Table135[[#This Row],[year]],0.8,YEAR(TODAY())-Table135[[#This Row],[year]])</f>
        <v>8</v>
      </c>
      <c r="K2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0.752      -2,110</v>
      </c>
      <c r="L20" s="4">
        <f t="array" aca="1" ref="L20" ca="1">EXP(INDEX(LINEST(LN(Table135[Price]),Table135[Age]),1,2))*EXP(INDEX(LINEST(LN(Table135[Price]),Table135[Age]),1,1)*Table135[[#This Row],[Age]])/Table135[[#This Row],[Price]]</f>
        <v>1.7351623101634432</v>
      </c>
      <c r="M20" s="4">
        <f ca="1">Table135[[#This Row],[Column1]]*VALUE(SUBSTITUTE(LEFT(Table135[[#This Row],[normal price/real milage]],3),",",""))</f>
        <v>1.2146136171144102</v>
      </c>
      <c r="N20" s="4"/>
    </row>
    <row r="21" spans="1:14" x14ac:dyDescent="0.25">
      <c r="A21" s="1">
        <v>45077</v>
      </c>
      <c r="B21">
        <v>89</v>
      </c>
      <c r="C21" s="5">
        <v>7950</v>
      </c>
      <c r="D21">
        <v>2012</v>
      </c>
      <c r="E21" t="s">
        <v>0</v>
      </c>
      <c r="F21" t="s">
        <v>1</v>
      </c>
      <c r="G21">
        <v>205000</v>
      </c>
      <c r="H21" s="4">
        <f>Table135[[#This Row],[Price]]/Table135[[#This Row],[Mileage]]</f>
        <v>3.8780487804878049E-2</v>
      </c>
      <c r="I21" s="3">
        <f ca="1">Table135[[#This Row],[Price]]/Table135[[#This Row],[Age]]</f>
        <v>722.72727272727275</v>
      </c>
      <c r="J21">
        <f ca="1">IF(YEAR(TODAY())=Table135[[#This Row],[year]],0.8,YEAR(TODAY())-Table135[[#This Row],[year]])</f>
        <v>11</v>
      </c>
      <c r="K2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0.955      -358</v>
      </c>
      <c r="L21" s="4">
        <f t="array" aca="1" ref="L21" ca="1">EXP(INDEX(LINEST(LN(Table135[Price]),Table135[Age]),1,2))*EXP(INDEX(LINEST(LN(Table135[Price]),Table135[Age]),1,1)*Table135[[#This Row],[Age]])/Table135[[#This Row],[Price]]</f>
        <v>1.1965284747348344</v>
      </c>
      <c r="M21" s="4">
        <f ca="1">Table135[[#This Row],[Column1]]*VALUE(SUBSTITUTE(LEFT(Table135[[#This Row],[normal price/real milage]],3),",",""))</f>
        <v>1.0768756272613509</v>
      </c>
      <c r="N21" s="4"/>
    </row>
    <row r="22" spans="1:14" x14ac:dyDescent="0.25">
      <c r="A22" s="1">
        <v>45077</v>
      </c>
      <c r="B22">
        <v>3</v>
      </c>
      <c r="C22" s="5">
        <v>12800</v>
      </c>
      <c r="D22">
        <v>2012</v>
      </c>
      <c r="E22" t="s">
        <v>0</v>
      </c>
      <c r="F22" t="s">
        <v>3</v>
      </c>
      <c r="G22">
        <v>103000</v>
      </c>
      <c r="H22" s="2">
        <f>Table135[[#This Row],[Price]]/Table135[[#This Row],[Mileage]]</f>
        <v>0.12427184466019417</v>
      </c>
      <c r="I22" s="3">
        <f ca="1">Table135[[#This Row],[Price]]/Table135[[#This Row],[Age]]</f>
        <v>1163.6363636363637</v>
      </c>
      <c r="J22">
        <f ca="1">IF(YEAR(TODAY())=Table135[[#This Row],[year]],0.8,YEAR(TODAY())-Table135[[#This Row],[year]])</f>
        <v>11</v>
      </c>
      <c r="K2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1.658      8,420</v>
      </c>
      <c r="L22" s="4">
        <f t="array" aca="1" ref="L22" ca="1">EXP(INDEX(LINEST(LN(Table135[Price]),Table135[Age]),1,2))*EXP(INDEX(LINEST(LN(Table135[Price]),Table135[Age]),1,1)*Table135[[#This Row],[Age]])/Table135[[#This Row],[Price]]</f>
        <v>0.74315635735483854</v>
      </c>
      <c r="M22" s="4">
        <f ca="1">Table135[[#This Row],[Column1]]*VALUE(SUBSTITUTE(LEFT(Table135[[#This Row],[normal price/real milage]],3),",",""))</f>
        <v>1.1890501717677417</v>
      </c>
      <c r="N22" s="4"/>
    </row>
    <row r="23" spans="1:14" x14ac:dyDescent="0.25">
      <c r="A23" s="1">
        <v>45077</v>
      </c>
      <c r="B23">
        <v>37</v>
      </c>
      <c r="C23" s="5">
        <v>13200</v>
      </c>
      <c r="D23">
        <v>2012</v>
      </c>
      <c r="E23" t="s">
        <v>0</v>
      </c>
      <c r="F23" t="s">
        <v>7</v>
      </c>
      <c r="G23">
        <v>103000</v>
      </c>
      <c r="H23" s="4">
        <f>Table135[[#This Row],[Price]]/Table135[[#This Row],[Mileage]]</f>
        <v>0.12815533980582525</v>
      </c>
      <c r="I23" s="3">
        <f ca="1">Table135[[#This Row],[Price]]/Table135[[#This Row],[Age]]</f>
        <v>1200</v>
      </c>
      <c r="J23">
        <f ca="1">IF(YEAR(TODAY())=Table135[[#This Row],[year]],0.8,YEAR(TODAY())-Table135[[#This Row],[year]])</f>
        <v>11</v>
      </c>
      <c r="K2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1.608      8,020</v>
      </c>
      <c r="L23" s="4">
        <f t="array" aca="1" ref="L23" ca="1">EXP(INDEX(LINEST(LN(Table135[Price]),Table135[Age]),1,2))*EXP(INDEX(LINEST(LN(Table135[Price]),Table135[Age]),1,1)*Table135[[#This Row],[Age]])/Table135[[#This Row],[Price]]</f>
        <v>0.72063646773802525</v>
      </c>
      <c r="M23" s="4">
        <f ca="1">Table135[[#This Row],[Column1]]*VALUE(SUBSTITUTE(LEFT(Table135[[#This Row],[normal price/real milage]],3),",",""))</f>
        <v>1.1530183483808405</v>
      </c>
      <c r="N23" s="4"/>
    </row>
    <row r="24" spans="1:14" x14ac:dyDescent="0.25">
      <c r="A24" s="1">
        <v>45077</v>
      </c>
      <c r="B24">
        <v>32</v>
      </c>
      <c r="C24" s="5">
        <v>13995</v>
      </c>
      <c r="D24">
        <v>2013</v>
      </c>
      <c r="E24" t="s">
        <v>0</v>
      </c>
      <c r="F24" t="s">
        <v>9</v>
      </c>
      <c r="G24">
        <v>113000</v>
      </c>
      <c r="H24" s="2">
        <f>Table135[[#This Row],[Price]]/Table135[[#This Row],[Mileage]]</f>
        <v>0.1238495575221239</v>
      </c>
      <c r="I24" s="3">
        <f ca="1">Table135[[#This Row],[Price]]/Table135[[#This Row],[Age]]</f>
        <v>1399.5</v>
      </c>
      <c r="J24">
        <f ca="1">IF(YEAR(TODAY())=Table135[[#This Row],[year]],0.8,YEAR(TODAY())-Table135[[#This Row],[year]])</f>
        <v>10</v>
      </c>
      <c r="K2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1.421      5,889</v>
      </c>
      <c r="L24" s="4">
        <f t="array" aca="1" ref="L24" ca="1">EXP(INDEX(LINEST(LN(Table135[Price]),Table135[Age]),1,2))*EXP(INDEX(LINEST(LN(Table135[Price]),Table135[Age]),1,1)*Table135[[#This Row],[Age]])/Table135[[#This Row],[Price]]</f>
        <v>0.78666504594347308</v>
      </c>
      <c r="M24" s="4">
        <f ca="1">Table135[[#This Row],[Column1]]*VALUE(SUBSTITUTE(LEFT(Table135[[#This Row],[normal price/real milage]],3),",",""))</f>
        <v>1.1013310643208623</v>
      </c>
      <c r="N24" s="4"/>
    </row>
    <row r="25" spans="1:14" x14ac:dyDescent="0.25">
      <c r="A25" s="1">
        <v>45077</v>
      </c>
      <c r="B25">
        <v>19</v>
      </c>
      <c r="C25" s="5">
        <v>9999</v>
      </c>
      <c r="D25">
        <v>2013</v>
      </c>
      <c r="E25" t="s">
        <v>0</v>
      </c>
      <c r="F25" t="s">
        <v>1</v>
      </c>
      <c r="G25">
        <v>185000</v>
      </c>
      <c r="H25" s="4">
        <f>Table135[[#This Row],[Price]]/Table135[[#This Row],[Mileage]]</f>
        <v>5.4048648648648646E-2</v>
      </c>
      <c r="I25" s="3">
        <f ca="1">Table135[[#This Row],[Price]]/Table135[[#This Row],[Age]]</f>
        <v>999.9</v>
      </c>
      <c r="J25">
        <f ca="1">IF(YEAR(TODAY())=Table135[[#This Row],[year]],0.8,YEAR(TODAY())-Table135[[#This Row],[year]])</f>
        <v>10</v>
      </c>
      <c r="K2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1.026      265</v>
      </c>
      <c r="L25" s="4">
        <f t="array" aca="1" ref="L25" ca="1">EXP(INDEX(LINEST(LN(Table135[Price]),Table135[Age]),1,2))*EXP(INDEX(LINEST(LN(Table135[Price]),Table135[Age]),1,1)*Table135[[#This Row],[Age]])/Table135[[#This Row],[Price]]</f>
        <v>1.1010478365815488</v>
      </c>
      <c r="M25" s="4">
        <f ca="1">Table135[[#This Row],[Column1]]*VALUE(SUBSTITUTE(LEFT(Table135[[#This Row],[normal price/real milage]],3),",",""))</f>
        <v>1.1010478365815488</v>
      </c>
      <c r="N25" s="4"/>
    </row>
    <row r="26" spans="1:14" x14ac:dyDescent="0.25">
      <c r="A26" s="1">
        <v>45077</v>
      </c>
      <c r="B26">
        <v>4</v>
      </c>
      <c r="C26" s="5">
        <v>16931</v>
      </c>
      <c r="D26">
        <v>2017</v>
      </c>
      <c r="E26" t="s">
        <v>0</v>
      </c>
      <c r="F26" t="s">
        <v>9</v>
      </c>
      <c r="G26">
        <v>114000</v>
      </c>
      <c r="H26" s="4">
        <f>Table135[[#This Row],[Price]]/Table135[[#This Row],[Mileage]]</f>
        <v>0.14851754385964913</v>
      </c>
      <c r="I26" s="3">
        <f ca="1">Table135[[#This Row],[Price]]/Table135[[#This Row],[Age]]</f>
        <v>2821.8333333333335</v>
      </c>
      <c r="J26">
        <f ca="1">IF(YEAR(TODAY())=Table135[[#This Row],[year]],0.8,YEAR(TODAY())-Table135[[#This Row],[year]])</f>
        <v>6</v>
      </c>
      <c r="K2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1.167      2,819</v>
      </c>
      <c r="L26" s="4">
        <f t="array" aca="1" ref="L26" ca="1">EXP(INDEX(LINEST(LN(Table135[Price]),Table135[Age]),1,2))*EXP(INDEX(LINEST(LN(Table135[Price]),Table135[Age]),1,1)*Table135[[#This Row],[Age]])/Table135[[#This Row],[Price]]</f>
        <v>1.1667303731493071</v>
      </c>
      <c r="M26" s="4">
        <f ca="1">Table135[[#This Row],[Column1]]*VALUE(SUBSTITUTE(LEFT(Table135[[#This Row],[normal price/real milage]],3),",",""))</f>
        <v>1.2834034104642378</v>
      </c>
      <c r="N26" s="4"/>
    </row>
    <row r="27" spans="1:14" x14ac:dyDescent="0.25">
      <c r="A27" s="1">
        <v>45077</v>
      </c>
      <c r="B27">
        <v>77</v>
      </c>
      <c r="C27" s="5">
        <v>12450</v>
      </c>
      <c r="D27">
        <v>2013</v>
      </c>
      <c r="E27" t="s">
        <v>0</v>
      </c>
      <c r="F27" t="s">
        <v>1</v>
      </c>
      <c r="G27">
        <v>143000</v>
      </c>
      <c r="H27" s="4">
        <f>Table135[[#This Row],[Price]]/Table135[[#This Row],[Mileage]]</f>
        <v>8.7062937062937065E-2</v>
      </c>
      <c r="I27" s="3">
        <f ca="1">Table135[[#This Row],[Price]]/Table135[[#This Row],[Age]]</f>
        <v>1245</v>
      </c>
      <c r="J27">
        <f ca="1">IF(YEAR(TODAY())=Table135[[#This Row],[year]],0.8,YEAR(TODAY())-Table135[[#This Row],[year]])</f>
        <v>10</v>
      </c>
      <c r="K2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1.275      3,425</v>
      </c>
      <c r="L27" s="4">
        <f t="array" aca="1" ref="L27" ca="1">EXP(INDEX(LINEST(LN(Table135[Price]),Table135[Age]),1,2))*EXP(INDEX(LINEST(LN(Table135[Price]),Table135[Age]),1,1)*Table135[[#This Row],[Age]])/Table135[[#This Row],[Price]]</f>
        <v>0.88428733477742216</v>
      </c>
      <c r="M27" s="4">
        <f ca="1">Table135[[#This Row],[Column1]]*VALUE(SUBSTITUTE(LEFT(Table135[[#This Row],[normal price/real milage]],3),",",""))</f>
        <v>1.0611448017329066</v>
      </c>
      <c r="N27" s="4"/>
    </row>
    <row r="28" spans="1:14" x14ac:dyDescent="0.25">
      <c r="A28" s="1">
        <v>45077</v>
      </c>
      <c r="B28">
        <v>67</v>
      </c>
      <c r="C28" s="5">
        <v>14000</v>
      </c>
      <c r="D28">
        <v>2015</v>
      </c>
      <c r="E28" t="s">
        <v>0</v>
      </c>
      <c r="F28" t="s">
        <v>1</v>
      </c>
      <c r="G28">
        <v>148000</v>
      </c>
      <c r="H28" s="4">
        <f>Table135[[#This Row],[Price]]/Table135[[#This Row],[Mileage]]</f>
        <v>9.45945945945946E-2</v>
      </c>
      <c r="I28" s="3">
        <f ca="1">Table135[[#This Row],[Price]]/Table135[[#This Row],[Age]]</f>
        <v>1750</v>
      </c>
      <c r="J28">
        <f ca="1">IF(YEAR(TODAY())=Table135[[#This Row],[year]],0.8,YEAR(TODAY())-Table135[[#This Row],[year]])</f>
        <v>8</v>
      </c>
      <c r="K2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1.086      1,207</v>
      </c>
      <c r="L28" s="4">
        <f t="array" aca="1" ref="L28" ca="1">EXP(INDEX(LINEST(LN(Table135[Price]),Table135[Age]),1,2))*EXP(INDEX(LINEST(LN(Table135[Price]),Table135[Age]),1,1)*Table135[[#This Row],[Age]])/Table135[[#This Row],[Price]]</f>
        <v>1.0533674624342217</v>
      </c>
      <c r="M28" s="4">
        <f ca="1">Table135[[#This Row],[Column1]]*VALUE(SUBSTITUTE(LEFT(Table135[[#This Row],[normal price/real milage]],3),",",""))</f>
        <v>1.0533674624342217</v>
      </c>
      <c r="N28" s="4"/>
    </row>
    <row r="29" spans="1:14" x14ac:dyDescent="0.25">
      <c r="A29" s="1">
        <v>45077</v>
      </c>
      <c r="B29">
        <v>10</v>
      </c>
      <c r="C29" s="5">
        <v>13950</v>
      </c>
      <c r="D29">
        <v>2014</v>
      </c>
      <c r="E29" t="s">
        <v>0</v>
      </c>
      <c r="F29" t="s">
        <v>7</v>
      </c>
      <c r="G29">
        <v>144000</v>
      </c>
      <c r="H29" s="4">
        <f>Table135[[#This Row],[Price]]/Table135[[#This Row],[Mileage]]</f>
        <v>9.6875000000000003E-2</v>
      </c>
      <c r="I29" s="3">
        <f ca="1">Table135[[#This Row],[Price]]/Table135[[#This Row],[Age]]</f>
        <v>1550</v>
      </c>
      <c r="J29">
        <f ca="1">IF(YEAR(TODAY())=Table135[[#This Row],[year]],0.8,YEAR(TODAY())-Table135[[#This Row],[year]])</f>
        <v>9</v>
      </c>
      <c r="K2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1.128      1,792</v>
      </c>
      <c r="L29" s="4">
        <f t="array" aca="1" ref="L29" ca="1">EXP(INDEX(LINEST(LN(Table135[Price]),Table135[Age]),1,2))*EXP(INDEX(LINEST(LN(Table135[Price]),Table135[Age]),1,1)*Table135[[#This Row],[Age]])/Table135[[#This Row],[Price]]</f>
        <v>0.91340027497331044</v>
      </c>
      <c r="M29" s="4">
        <f ca="1">Table135[[#This Row],[Column1]]*VALUE(SUBSTITUTE(LEFT(Table135[[#This Row],[normal price/real milage]],3),",",""))</f>
        <v>1.0047403024706416</v>
      </c>
      <c r="N29" s="4"/>
    </row>
    <row r="30" spans="1:14" x14ac:dyDescent="0.25">
      <c r="A30" s="1">
        <v>45077</v>
      </c>
      <c r="B30">
        <v>83</v>
      </c>
      <c r="C30" s="5">
        <v>12900</v>
      </c>
      <c r="D30">
        <v>2015</v>
      </c>
      <c r="E30" t="s">
        <v>0</v>
      </c>
      <c r="F30" t="s">
        <v>1</v>
      </c>
      <c r="G30">
        <v>175000</v>
      </c>
      <c r="H30" s="4">
        <f>Table135[[#This Row],[Price]]/Table135[[#This Row],[Mileage]]</f>
        <v>7.3714285714285718E-2</v>
      </c>
      <c r="I30" s="3">
        <f ca="1">Table135[[#This Row],[Price]]/Table135[[#This Row],[Age]]</f>
        <v>1612.5</v>
      </c>
      <c r="J30">
        <f ca="1">IF(YEAR(TODAY())=Table135[[#This Row],[year]],0.8,YEAR(TODAY())-Table135[[#This Row],[year]])</f>
        <v>8</v>
      </c>
      <c r="K3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0.899      -1,300</v>
      </c>
      <c r="L30" s="4">
        <f t="array" aca="1" ref="L30" ca="1">EXP(INDEX(LINEST(LN(Table135[Price]),Table135[Age]),1,2))*EXP(INDEX(LINEST(LN(Table135[Price]),Table135[Age]),1,1)*Table135[[#This Row],[Age]])/Table135[[#This Row],[Price]]</f>
        <v>1.1431894941146592</v>
      </c>
      <c r="M30" s="4">
        <f ca="1">Table135[[#This Row],[Column1]]*VALUE(SUBSTITUTE(LEFT(Table135[[#This Row],[normal price/real milage]],3),",",""))</f>
        <v>0.91455159529172736</v>
      </c>
      <c r="N30" s="4"/>
    </row>
    <row r="31" spans="1:14" x14ac:dyDescent="0.25">
      <c r="A31" s="1">
        <v>45077</v>
      </c>
      <c r="B31">
        <v>66</v>
      </c>
      <c r="C31" s="5">
        <v>17950</v>
      </c>
      <c r="D31">
        <v>2017</v>
      </c>
      <c r="E31" t="s">
        <v>0</v>
      </c>
      <c r="F31" t="s">
        <v>9</v>
      </c>
      <c r="G31">
        <v>118000</v>
      </c>
      <c r="H31" s="4">
        <f>Table135[[#This Row],[Price]]/Table135[[#This Row],[Mileage]]</f>
        <v>0.1521186440677966</v>
      </c>
      <c r="I31" s="3">
        <f ca="1">Table135[[#This Row],[Price]]/Table135[[#This Row],[Age]]</f>
        <v>2991.6666666666665</v>
      </c>
      <c r="J31">
        <f ca="1">IF(YEAR(TODAY())=Table135[[#This Row],[year]],0.8,YEAR(TODAY())-Table135[[#This Row],[year]])</f>
        <v>6</v>
      </c>
      <c r="K3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1.071      1,266</v>
      </c>
      <c r="L31" s="4">
        <f t="array" aca="1" ref="L31" ca="1">EXP(INDEX(LINEST(LN(Table135[Price]),Table135[Age]),1,2))*EXP(INDEX(LINEST(LN(Table135[Price]),Table135[Age]),1,1)*Table135[[#This Row],[Age]])/Table135[[#This Row],[Price]]</f>
        <v>1.1004964873421126</v>
      </c>
      <c r="M31" s="4">
        <f ca="1">Table135[[#This Row],[Column1]]*VALUE(SUBSTITUTE(LEFT(Table135[[#This Row],[normal price/real milage]],3),",",""))</f>
        <v>1.1004964873421126</v>
      </c>
      <c r="N31" s="4"/>
    </row>
    <row r="32" spans="1:14" x14ac:dyDescent="0.25">
      <c r="A32" s="1">
        <v>45077</v>
      </c>
      <c r="B32">
        <v>84</v>
      </c>
      <c r="C32" s="5">
        <v>14895</v>
      </c>
      <c r="D32">
        <v>2016</v>
      </c>
      <c r="E32" t="s">
        <v>0</v>
      </c>
      <c r="F32" t="s">
        <v>7</v>
      </c>
      <c r="G32">
        <v>152000</v>
      </c>
      <c r="H32" s="4">
        <f>Table135[[#This Row],[Price]]/Table135[[#This Row],[Mileage]]</f>
        <v>9.7993421052631577E-2</v>
      </c>
      <c r="I32" s="3">
        <f ca="1">Table135[[#This Row],[Price]]/Table135[[#This Row],[Age]]</f>
        <v>2127.8571428571427</v>
      </c>
      <c r="J32">
        <f ca="1">IF(YEAR(TODAY())=Table135[[#This Row],[year]],0.8,YEAR(TODAY())-Table135[[#This Row],[year]])</f>
        <v>7</v>
      </c>
      <c r="K3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0.985      -222</v>
      </c>
      <c r="L32" s="4">
        <f t="array" aca="1" ref="L32" ca="1">EXP(INDEX(LINEST(LN(Table135[Price]),Table135[Age]),1,2))*EXP(INDEX(LINEST(LN(Table135[Price]),Table135[Age]),1,1)*Table135[[#This Row],[Age]])/Table135[[#This Row],[Price]]</f>
        <v>1.1458823148167834</v>
      </c>
      <c r="M32" s="4">
        <f ca="1">Table135[[#This Row],[Column1]]*VALUE(SUBSTITUTE(LEFT(Table135[[#This Row],[normal price/real milage]],3),",",""))</f>
        <v>1.031294083335105</v>
      </c>
      <c r="N32" s="4"/>
    </row>
    <row r="33" spans="1:14" x14ac:dyDescent="0.25">
      <c r="A33" s="1">
        <v>45077</v>
      </c>
      <c r="B33">
        <v>8</v>
      </c>
      <c r="C33" s="5">
        <v>14950</v>
      </c>
      <c r="D33">
        <v>2014</v>
      </c>
      <c r="E33" t="s">
        <v>0</v>
      </c>
      <c r="F33" t="s">
        <v>1</v>
      </c>
      <c r="G33">
        <v>134000</v>
      </c>
      <c r="H33" s="4">
        <f>Table135[[#This Row],[Price]]/Table135[[#This Row],[Mileage]]</f>
        <v>0.11156716417910448</v>
      </c>
      <c r="I33" s="3">
        <f ca="1">Table135[[#This Row],[Price]]/Table135[[#This Row],[Age]]</f>
        <v>1661.1111111111111</v>
      </c>
      <c r="J33">
        <f ca="1">IF(YEAR(TODAY())=Table135[[#This Row],[year]],0.8,YEAR(TODAY())-Table135[[#This Row],[year]])</f>
        <v>9</v>
      </c>
      <c r="K3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1.142      2,128</v>
      </c>
      <c r="L33" s="4">
        <f t="array" aca="1" ref="L33" ca="1">EXP(INDEX(LINEST(LN(Table135[Price]),Table135[Age]),1,2))*EXP(INDEX(LINEST(LN(Table135[Price]),Table135[Age]),1,1)*Table135[[#This Row],[Age]])/Table135[[#This Row],[Price]]</f>
        <v>0.85230326661389166</v>
      </c>
      <c r="M33" s="4">
        <f ca="1">Table135[[#This Row],[Column1]]*VALUE(SUBSTITUTE(LEFT(Table135[[#This Row],[normal price/real milage]],3),",",""))</f>
        <v>0.93753359327528085</v>
      </c>
      <c r="N33" s="4"/>
    </row>
    <row r="34" spans="1:14" x14ac:dyDescent="0.25">
      <c r="A34" s="1">
        <v>45077</v>
      </c>
      <c r="B34">
        <v>76</v>
      </c>
      <c r="C34" s="5">
        <v>13990</v>
      </c>
      <c r="D34">
        <v>2013</v>
      </c>
      <c r="E34" t="s">
        <v>0</v>
      </c>
      <c r="F34" t="s">
        <v>7</v>
      </c>
      <c r="G34">
        <v>137000</v>
      </c>
      <c r="H34" s="4">
        <f>Table135[[#This Row],[Price]]/Table135[[#This Row],[Mileage]]</f>
        <v>0.10211678832116788</v>
      </c>
      <c r="I34" s="3">
        <f ca="1">Table135[[#This Row],[Price]]/Table135[[#This Row],[Age]]</f>
        <v>1399</v>
      </c>
      <c r="J34">
        <f ca="1">IF(YEAR(TODAY())=Table135[[#This Row],[year]],0.8,YEAR(TODAY())-Table135[[#This Row],[year]])</f>
        <v>10</v>
      </c>
      <c r="K3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1.192      2,687</v>
      </c>
      <c r="L34" s="4">
        <f t="array" aca="1" ref="L34" ca="1">EXP(INDEX(LINEST(LN(Table135[Price]),Table135[Age]),1,2))*EXP(INDEX(LINEST(LN(Table135[Price]),Table135[Age]),1,1)*Table135[[#This Row],[Age]])/Table135[[#This Row],[Price]]</f>
        <v>0.78694619856889969</v>
      </c>
      <c r="M34" s="4">
        <f ca="1">Table135[[#This Row],[Column1]]*VALUE(SUBSTITUTE(LEFT(Table135[[#This Row],[normal price/real milage]],3),",",""))</f>
        <v>0.86564081842578977</v>
      </c>
      <c r="N34" s="4"/>
    </row>
    <row r="35" spans="1:14" x14ac:dyDescent="0.25">
      <c r="A35" s="1">
        <v>45077</v>
      </c>
      <c r="B35">
        <v>68</v>
      </c>
      <c r="C35" s="5">
        <v>8950</v>
      </c>
      <c r="D35">
        <v>2013</v>
      </c>
      <c r="E35" t="s">
        <v>0</v>
      </c>
      <c r="F35" t="s">
        <v>1</v>
      </c>
      <c r="G35">
        <v>217000</v>
      </c>
      <c r="H35" s="4">
        <f>Table135[[#This Row],[Price]]/Table135[[#This Row],[Mileage]]</f>
        <v>4.1244239631336409E-2</v>
      </c>
      <c r="I35" s="3">
        <f ca="1">Table135[[#This Row],[Price]]/Table135[[#This Row],[Age]]</f>
        <v>895</v>
      </c>
      <c r="J35">
        <f ca="1">IF(YEAR(TODAY())=Table135[[#This Row],[year]],0.8,YEAR(TODAY())-Table135[[#This Row],[year]])</f>
        <v>10</v>
      </c>
      <c r="K3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0.669      -2,962</v>
      </c>
      <c r="L35" s="4">
        <f t="array" aca="1" ref="L35" ca="1">EXP(INDEX(LINEST(LN(Table135[Price]),Table135[Age]),1,2))*EXP(INDEX(LINEST(LN(Table135[Price]),Table135[Age]),1,1)*Table135[[#This Row],[Age]])/Table135[[#This Row],[Price]]</f>
        <v>1.2300980243551851</v>
      </c>
      <c r="M35" s="4">
        <f ca="1">Table135[[#This Row],[Column1]]*VALUE(SUBSTITUTE(LEFT(Table135[[#This Row],[normal price/real milage]],3),",",""))</f>
        <v>0.73805881461311107</v>
      </c>
      <c r="N35" s="4"/>
    </row>
    <row r="36" spans="1:14" x14ac:dyDescent="0.25">
      <c r="A36" s="1">
        <v>45077</v>
      </c>
      <c r="B36">
        <v>92</v>
      </c>
      <c r="C36" s="5">
        <v>9995</v>
      </c>
      <c r="D36">
        <v>2014</v>
      </c>
      <c r="E36" t="s">
        <v>17</v>
      </c>
      <c r="F36" t="s">
        <v>1</v>
      </c>
      <c r="G36">
        <v>212000</v>
      </c>
      <c r="H36" s="4">
        <f>Table135[[#This Row],[Price]]/Table135[[#This Row],[Mileage]]</f>
        <v>4.714622641509434E-2</v>
      </c>
      <c r="I36" s="3">
        <f ca="1">Table135[[#This Row],[Price]]/Table135[[#This Row],[Age]]</f>
        <v>1110.5555555555557</v>
      </c>
      <c r="J36">
        <f ca="1">IF(YEAR(TODAY())=Table135[[#This Row],[year]],0.8,YEAR(TODAY())-Table135[[#This Row],[year]])</f>
        <v>9</v>
      </c>
      <c r="K3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0.666      -3,338</v>
      </c>
      <c r="L36" s="4">
        <f t="array" aca="1" ref="L36" ca="1">EXP(INDEX(LINEST(LN(Table135[Price]),Table135[Age]),1,2))*EXP(INDEX(LINEST(LN(Table135[Price]),Table135[Age]),1,1)*Table135[[#This Row],[Age]])/Table135[[#This Row],[Price]]</f>
        <v>1.2748307989872616</v>
      </c>
      <c r="M36" s="4">
        <f ca="1">Table135[[#This Row],[Column1]]*VALUE(SUBSTITUTE(LEFT(Table135[[#This Row],[normal price/real milage]],3),",",""))</f>
        <v>0.76489847939235689</v>
      </c>
      <c r="N36" s="4"/>
    </row>
    <row r="37" spans="1:14" x14ac:dyDescent="0.25">
      <c r="A37" s="1">
        <v>45077</v>
      </c>
      <c r="B37">
        <v>86</v>
      </c>
      <c r="C37" s="5">
        <v>11500</v>
      </c>
      <c r="D37">
        <v>2010</v>
      </c>
      <c r="E37" t="s">
        <v>0</v>
      </c>
      <c r="F37" t="s">
        <v>9</v>
      </c>
      <c r="G37">
        <v>155000</v>
      </c>
      <c r="H37" s="4">
        <f>Table135[[#This Row],[Price]]/Table135[[#This Row],[Mileage]]</f>
        <v>7.4193548387096769E-2</v>
      </c>
      <c r="I37" s="3">
        <f ca="1">Table135[[#This Row],[Price]]/Table135[[#This Row],[Age]]</f>
        <v>884.61538461538464</v>
      </c>
      <c r="J37">
        <f ca="1">IF(YEAR(TODAY())=Table135[[#This Row],[year]],0.8,YEAR(TODAY())-Table135[[#This Row],[year]])</f>
        <v>13</v>
      </c>
      <c r="K3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1.241      2,772</v>
      </c>
      <c r="L37" s="4">
        <f t="array" aca="1" ref="L37" ca="1">EXP(INDEX(LINEST(LN(Table135[Price]),Table135[Age]),1,2))*EXP(INDEX(LINEST(LN(Table135[Price]),Table135[Age]),1,1)*Table135[[#This Row],[Age]])/Table135[[#This Row],[Price]]</f>
        <v>0.61751448316605129</v>
      </c>
      <c r="M37" s="4">
        <f ca="1">Table135[[#This Row],[Column1]]*VALUE(SUBSTITUTE(LEFT(Table135[[#This Row],[normal price/real milage]],3),",",""))</f>
        <v>0.74101737979926152</v>
      </c>
      <c r="N37" s="4"/>
    </row>
    <row r="38" spans="1:14" x14ac:dyDescent="0.25">
      <c r="A38" s="1">
        <v>45077</v>
      </c>
      <c r="B38">
        <v>59</v>
      </c>
      <c r="C38" s="5">
        <v>14500</v>
      </c>
      <c r="D38">
        <v>2014</v>
      </c>
      <c r="E38" t="s">
        <v>0</v>
      </c>
      <c r="F38" t="s">
        <v>1</v>
      </c>
      <c r="G38">
        <v>148000</v>
      </c>
      <c r="H38" s="4">
        <f>Table135[[#This Row],[Price]]/Table135[[#This Row],[Mileage]]</f>
        <v>9.7972972972972971E-2</v>
      </c>
      <c r="I38" s="3">
        <f ca="1">Table135[[#This Row],[Price]]/Table135[[#This Row],[Age]]</f>
        <v>1611.1111111111111</v>
      </c>
      <c r="J38">
        <f ca="1">IF(YEAR(TODAY())=Table135[[#This Row],[year]],0.8,YEAR(TODAY())-Table135[[#This Row],[year]])</f>
        <v>9</v>
      </c>
      <c r="K3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1.049      707</v>
      </c>
      <c r="L38" s="4">
        <f t="array" aca="1" ref="L38" ca="1">EXP(INDEX(LINEST(LN(Table135[Price]),Table135[Age]),1,2))*EXP(INDEX(LINEST(LN(Table135[Price]),Table135[Age]),1,1)*Table135[[#This Row],[Age]])/Table135[[#This Row],[Price]]</f>
        <v>0.87875405764673653</v>
      </c>
      <c r="M38" s="4">
        <f ca="1">Table135[[#This Row],[Column1]]*VALUE(SUBSTITUTE(LEFT(Table135[[#This Row],[normal price/real milage]],3),",",""))</f>
        <v>0.87875405764673653</v>
      </c>
      <c r="N38" s="4"/>
    </row>
    <row r="39" spans="1:14" x14ac:dyDescent="0.25">
      <c r="A39" s="1">
        <v>45077</v>
      </c>
      <c r="B39">
        <v>36</v>
      </c>
      <c r="C39" s="5">
        <v>24491</v>
      </c>
      <c r="D39">
        <v>2019</v>
      </c>
      <c r="E39" t="s">
        <v>0</v>
      </c>
      <c r="F39" t="s">
        <v>9</v>
      </c>
      <c r="G39">
        <v>58000</v>
      </c>
      <c r="H39" s="4">
        <f>Table135[[#This Row],[Price]]/Table135[[#This Row],[Mileage]]</f>
        <v>0.4222586206896552</v>
      </c>
      <c r="I39" s="3">
        <f ca="1">Table135[[#This Row],[Price]]/Table135[[#This Row],[Age]]</f>
        <v>6122.75</v>
      </c>
      <c r="J39">
        <f ca="1">IF(YEAR(TODAY())=Table135[[#This Row],[year]],0.8,YEAR(TODAY())-Table135[[#This Row],[year]])</f>
        <v>4</v>
      </c>
      <c r="K3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1.112      2,741</v>
      </c>
      <c r="L39" s="4">
        <f t="array" aca="1" ref="L39" ca="1">EXP(INDEX(LINEST(LN(Table135[Price]),Table135[Age]),1,2))*EXP(INDEX(LINEST(LN(Table135[Price]),Table135[Age]),1,1)*Table135[[#This Row],[Age]])/Table135[[#This Row],[Price]]</f>
        <v>1.0804179077266771</v>
      </c>
      <c r="M39" s="4">
        <f ca="1">Table135[[#This Row],[Column1]]*VALUE(SUBSTITUTE(LEFT(Table135[[#This Row],[normal price/real milage]],3),",",""))</f>
        <v>1.188459698499345</v>
      </c>
      <c r="N39" s="4"/>
    </row>
    <row r="40" spans="1:14" x14ac:dyDescent="0.25">
      <c r="A40" s="1">
        <v>45077</v>
      </c>
      <c r="B40">
        <v>26</v>
      </c>
      <c r="C40" s="5">
        <v>24991</v>
      </c>
      <c r="D40">
        <v>2019</v>
      </c>
      <c r="E40" t="s">
        <v>0</v>
      </c>
      <c r="F40" t="s">
        <v>12</v>
      </c>
      <c r="G40">
        <v>60000</v>
      </c>
      <c r="H40" s="4">
        <f>Table135[[#This Row],[Price]]/Table135[[#This Row],[Mileage]]</f>
        <v>0.41651666666666665</v>
      </c>
      <c r="I40" s="3">
        <f ca="1">Table135[[#This Row],[Price]]/Table135[[#This Row],[Age]]</f>
        <v>6247.75</v>
      </c>
      <c r="J40">
        <f ca="1">IF(YEAR(TODAY())=Table135[[#This Row],[year]],0.8,YEAR(TODAY())-Table135[[#This Row],[year]])</f>
        <v>4</v>
      </c>
      <c r="K4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1.079      1,974</v>
      </c>
      <c r="L40" s="4">
        <f t="array" aca="1" ref="L40" ca="1">EXP(INDEX(LINEST(LN(Table135[Price]),Table135[Age]),1,2))*EXP(INDEX(LINEST(LN(Table135[Price]),Table135[Age]),1,1)*Table135[[#This Row],[Age]])/Table135[[#This Row],[Price]]</f>
        <v>1.0588017677617561</v>
      </c>
      <c r="M40" s="4">
        <f ca="1">Table135[[#This Row],[Column1]]*VALUE(SUBSTITUTE(LEFT(Table135[[#This Row],[normal price/real milage]],3),",",""))</f>
        <v>1.0588017677617561</v>
      </c>
      <c r="N40" s="4"/>
    </row>
    <row r="41" spans="1:14" x14ac:dyDescent="0.25">
      <c r="A41" s="1">
        <v>45077</v>
      </c>
      <c r="B41">
        <v>5</v>
      </c>
      <c r="C41" s="5">
        <v>22995</v>
      </c>
      <c r="D41">
        <v>2018</v>
      </c>
      <c r="E41" t="s">
        <v>0</v>
      </c>
      <c r="F41" t="s">
        <v>6</v>
      </c>
      <c r="G41">
        <v>82000</v>
      </c>
      <c r="H41" s="4">
        <f>Table135[[#This Row],[Price]]/Table135[[#This Row],[Mileage]]</f>
        <v>0.28042682926829271</v>
      </c>
      <c r="I41" s="3">
        <f ca="1">Table135[[#This Row],[Price]]/Table135[[#This Row],[Age]]</f>
        <v>4599</v>
      </c>
      <c r="J41">
        <f ca="1">IF(YEAR(TODAY())=Table135[[#This Row],[year]],0.8,YEAR(TODAY())-Table135[[#This Row],[year]])</f>
        <v>5</v>
      </c>
      <c r="K4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1.045      1,030</v>
      </c>
      <c r="L41" s="4">
        <f t="array" aca="1" ref="L41" ca="1">EXP(INDEX(LINEST(LN(Table135[Price]),Table135[Age]),1,2))*EXP(INDEX(LINEST(LN(Table135[Price]),Table135[Age]),1,1)*Table135[[#This Row],[Age]])/Table135[[#This Row],[Price]]</f>
        <v>0.99424242078950487</v>
      </c>
      <c r="M41" s="4">
        <f ca="1">Table135[[#This Row],[Column1]]*VALUE(SUBSTITUTE(LEFT(Table135[[#This Row],[normal price/real milage]],3),",",""))</f>
        <v>0.99424242078950487</v>
      </c>
      <c r="N41" s="4"/>
    </row>
    <row r="42" spans="1:14" x14ac:dyDescent="0.25">
      <c r="A42" s="1">
        <v>45077</v>
      </c>
      <c r="B42">
        <v>72</v>
      </c>
      <c r="C42" s="5">
        <v>28383</v>
      </c>
      <c r="D42">
        <v>2021</v>
      </c>
      <c r="E42" t="s">
        <v>0</v>
      </c>
      <c r="F42" t="s">
        <v>9</v>
      </c>
      <c r="G42">
        <v>63000</v>
      </c>
      <c r="H42" s="4">
        <f>Table135[[#This Row],[Price]]/Table135[[#This Row],[Mileage]]</f>
        <v>0.45052380952380955</v>
      </c>
      <c r="I42" s="3">
        <f ca="1">Table135[[#This Row],[Price]]/Table135[[#This Row],[Age]]</f>
        <v>14191.5</v>
      </c>
      <c r="J42">
        <f ca="1">IF(YEAR(TODAY())=Table135[[#This Row],[year]],0.8,YEAR(TODAY())-Table135[[#This Row],[year]])</f>
        <v>2</v>
      </c>
      <c r="K4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0.936      -1,819</v>
      </c>
      <c r="L42" s="4">
        <f t="array" aca="1" ref="L42" ca="1">EXP(INDEX(LINEST(LN(Table135[Price]),Table135[Age]),1,2))*EXP(INDEX(LINEST(LN(Table135[Price]),Table135[Age]),1,1)*Table135[[#This Row],[Age]])/Table135[[#This Row],[Price]]</f>
        <v>1.2487778119873743</v>
      </c>
      <c r="M42" s="4">
        <f ca="1">Table135[[#This Row],[Column1]]*VALUE(SUBSTITUTE(LEFT(Table135[[#This Row],[normal price/real milage]],3),",",""))</f>
        <v>1.1239000307886369</v>
      </c>
      <c r="N42" s="4"/>
    </row>
    <row r="43" spans="1:14" x14ac:dyDescent="0.25">
      <c r="A43" s="1">
        <v>45077</v>
      </c>
      <c r="B43">
        <v>40</v>
      </c>
      <c r="C43" s="5">
        <v>28390</v>
      </c>
      <c r="D43">
        <v>2021</v>
      </c>
      <c r="E43" t="s">
        <v>0</v>
      </c>
      <c r="F43" t="s">
        <v>9</v>
      </c>
      <c r="G43">
        <v>57000</v>
      </c>
      <c r="H43" s="4">
        <f>Table135[[#This Row],[Price]]/Table135[[#This Row],[Mileage]]</f>
        <v>0.4980701754385965</v>
      </c>
      <c r="I43" s="3">
        <f ca="1">Table135[[#This Row],[Price]]/Table135[[#This Row],[Age]]</f>
        <v>14195</v>
      </c>
      <c r="J43">
        <f ca="1">IF(YEAR(TODAY())=Table135[[#This Row],[year]],0.8,YEAR(TODAY())-Table135[[#This Row],[year]])</f>
        <v>2</v>
      </c>
      <c r="K4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0.964      -1,024</v>
      </c>
      <c r="L43" s="4">
        <f t="array" aca="1" ref="L43" ca="1">EXP(INDEX(LINEST(LN(Table135[Price]),Table135[Age]),1,2))*EXP(INDEX(LINEST(LN(Table135[Price]),Table135[Age]),1,1)*Table135[[#This Row],[Age]])/Table135[[#This Row],[Price]]</f>
        <v>1.2484699062218261</v>
      </c>
      <c r="M43" s="4">
        <f ca="1">Table135[[#This Row],[Column1]]*VALUE(SUBSTITUTE(LEFT(Table135[[#This Row],[normal price/real milage]],3),",",""))</f>
        <v>1.1236229155996436</v>
      </c>
      <c r="N43" s="4"/>
    </row>
    <row r="44" spans="1:14" x14ac:dyDescent="0.25">
      <c r="A44" s="1">
        <v>45077</v>
      </c>
      <c r="B44">
        <v>61</v>
      </c>
      <c r="C44" s="5">
        <v>28480</v>
      </c>
      <c r="D44">
        <v>2020</v>
      </c>
      <c r="E44" t="s">
        <v>0</v>
      </c>
      <c r="F44" t="s">
        <v>4</v>
      </c>
      <c r="G44">
        <v>41000</v>
      </c>
      <c r="H44" s="4">
        <f>Table135[[#This Row],[Price]]/Table135[[#This Row],[Mileage]]</f>
        <v>0.69463414634146337</v>
      </c>
      <c r="I44" s="3">
        <f ca="1">Table135[[#This Row],[Price]]/Table135[[#This Row],[Age]]</f>
        <v>9493.3333333333339</v>
      </c>
      <c r="J44">
        <f ca="1">IF(YEAR(TODAY())=Table135[[#This Row],[year]],0.8,YEAR(TODAY())-Table135[[#This Row],[year]])</f>
        <v>3</v>
      </c>
      <c r="K4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1.036      1,023</v>
      </c>
      <c r="L44" s="4">
        <f t="array" aca="1" ref="L44" ca="1">EXP(INDEX(LINEST(LN(Table135[Price]),Table135[Age]),1,2))*EXP(INDEX(LINEST(LN(Table135[Price]),Table135[Age]),1,1)*Table135[[#This Row],[Age]])/Table135[[#This Row],[Price]]</f>
        <v>1.0753030969117321</v>
      </c>
      <c r="M44" s="4">
        <f ca="1">Table135[[#This Row],[Column1]]*VALUE(SUBSTITUTE(LEFT(Table135[[#This Row],[normal price/real milage]],3),",",""))</f>
        <v>1.0753030969117321</v>
      </c>
      <c r="N44" s="4"/>
    </row>
    <row r="45" spans="1:14" x14ac:dyDescent="0.25">
      <c r="A45" s="1">
        <v>45077</v>
      </c>
      <c r="B45">
        <v>64</v>
      </c>
      <c r="C45" s="5">
        <v>16999</v>
      </c>
      <c r="D45">
        <v>2015</v>
      </c>
      <c r="E45" t="s">
        <v>0</v>
      </c>
      <c r="F45" t="s">
        <v>7</v>
      </c>
      <c r="G45">
        <v>134000</v>
      </c>
      <c r="H45" s="4">
        <f>Table135[[#This Row],[Price]]/Table135[[#This Row],[Mileage]]</f>
        <v>0.12685820895522387</v>
      </c>
      <c r="I45" s="3">
        <f ca="1">Table135[[#This Row],[Price]]/Table135[[#This Row],[Age]]</f>
        <v>2124.875</v>
      </c>
      <c r="J45">
        <f ca="1">IF(YEAR(TODAY())=Table135[[#This Row],[year]],0.8,YEAR(TODAY())-Table135[[#This Row],[year]])</f>
        <v>8</v>
      </c>
      <c r="K4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1.005      79</v>
      </c>
      <c r="L45" s="4">
        <f t="array" aca="1" ref="L45" ca="1">EXP(INDEX(LINEST(LN(Table135[Price]),Table135[Age]),1,2))*EXP(INDEX(LINEST(LN(Table135[Price]),Table135[Age]),1,1)*Table135[[#This Row],[Age]])/Table135[[#This Row],[Price]]</f>
        <v>0.86753011789394108</v>
      </c>
      <c r="M45" s="4">
        <f ca="1">Table135[[#This Row],[Column1]]*VALUE(SUBSTITUTE(LEFT(Table135[[#This Row],[normal price/real milage]],3),",",""))</f>
        <v>0.86753011789394108</v>
      </c>
      <c r="N45" s="4"/>
    </row>
    <row r="46" spans="1:14" x14ac:dyDescent="0.25">
      <c r="A46" s="1">
        <v>45077</v>
      </c>
      <c r="B46">
        <v>18</v>
      </c>
      <c r="C46" s="5">
        <v>25995</v>
      </c>
      <c r="D46">
        <v>2019</v>
      </c>
      <c r="E46" t="s">
        <v>0</v>
      </c>
      <c r="F46" t="s">
        <v>1</v>
      </c>
      <c r="G46">
        <v>52000</v>
      </c>
      <c r="H46" s="4">
        <f>Table135[[#This Row],[Price]]/Table135[[#This Row],[Mileage]]</f>
        <v>0.49990384615384614</v>
      </c>
      <c r="I46" s="3">
        <f ca="1">Table135[[#This Row],[Price]]/Table135[[#This Row],[Age]]</f>
        <v>6498.75</v>
      </c>
      <c r="J46">
        <f ca="1">IF(YEAR(TODAY())=Table135[[#This Row],[year]],0.8,YEAR(TODAY())-Table135[[#This Row],[year]])</f>
        <v>4</v>
      </c>
      <c r="K4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1.078      2,039</v>
      </c>
      <c r="L46" s="4">
        <f t="array" aca="1" ref="L46" ca="1">EXP(INDEX(LINEST(LN(Table135[Price]),Table135[Age]),1,2))*EXP(INDEX(LINEST(LN(Table135[Price]),Table135[Age]),1,1)*Table135[[#This Row],[Age]])/Table135[[#This Row],[Price]]</f>
        <v>1.0179078660563203</v>
      </c>
      <c r="M46" s="4">
        <f ca="1">Table135[[#This Row],[Column1]]*VALUE(SUBSTITUTE(LEFT(Table135[[#This Row],[normal price/real milage]],3),",",""))</f>
        <v>1.0179078660563203</v>
      </c>
      <c r="N46" s="4"/>
    </row>
    <row r="47" spans="1:14" x14ac:dyDescent="0.25">
      <c r="A47" s="1">
        <v>45077</v>
      </c>
      <c r="B47">
        <v>21</v>
      </c>
      <c r="C47" s="5">
        <v>21995</v>
      </c>
      <c r="D47">
        <v>2018</v>
      </c>
      <c r="E47" t="s">
        <v>0</v>
      </c>
      <c r="F47" t="s">
        <v>9</v>
      </c>
      <c r="G47">
        <v>101000</v>
      </c>
      <c r="H47" s="4">
        <f>Table135[[#This Row],[Price]]/Table135[[#This Row],[Mileage]]</f>
        <v>0.21777227722772277</v>
      </c>
      <c r="I47" s="3">
        <f ca="1">Table135[[#This Row],[Price]]/Table135[[#This Row],[Age]]</f>
        <v>4399</v>
      </c>
      <c r="J47">
        <f ca="1">IF(YEAR(TODAY())=Table135[[#This Row],[year]],0.8,YEAR(TODAY())-Table135[[#This Row],[year]])</f>
        <v>5</v>
      </c>
      <c r="K4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0.977      -508</v>
      </c>
      <c r="L47" s="4">
        <f t="array" aca="1" ref="L47" ca="1">EXP(INDEX(LINEST(LN(Table135[Price]),Table135[Age]),1,2))*EXP(INDEX(LINEST(LN(Table135[Price]),Table135[Age]),1,1)*Table135[[#This Row],[Age]])/Table135[[#This Row],[Price]]</f>
        <v>1.0394455315323785</v>
      </c>
      <c r="M47" s="4">
        <f ca="1">Table135[[#This Row],[Column1]]*VALUE(SUBSTITUTE(LEFT(Table135[[#This Row],[normal price/real milage]],3),",",""))</f>
        <v>0.9355009783791407</v>
      </c>
      <c r="N47" s="4"/>
    </row>
    <row r="48" spans="1:14" x14ac:dyDescent="0.25">
      <c r="A48" s="1">
        <v>45077</v>
      </c>
      <c r="B48">
        <v>20</v>
      </c>
      <c r="C48" s="5">
        <v>19900</v>
      </c>
      <c r="D48">
        <v>2017</v>
      </c>
      <c r="E48" t="s">
        <v>0</v>
      </c>
      <c r="F48" t="s">
        <v>1</v>
      </c>
      <c r="G48">
        <v>115000</v>
      </c>
      <c r="H48" s="4">
        <f>Table135[[#This Row],[Price]]/Table135[[#This Row],[Mileage]]</f>
        <v>0.17304347826086958</v>
      </c>
      <c r="I48" s="3">
        <f ca="1">Table135[[#This Row],[Price]]/Table135[[#This Row],[Age]]</f>
        <v>3316.6666666666665</v>
      </c>
      <c r="J48">
        <f ca="1">IF(YEAR(TODAY())=Table135[[#This Row],[year]],0.8,YEAR(TODAY())-Table135[[#This Row],[year]])</f>
        <v>6</v>
      </c>
      <c r="K4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0.986      -284</v>
      </c>
      <c r="L48" s="4">
        <f t="array" aca="1" ref="L48" ca="1">EXP(INDEX(LINEST(LN(Table135[Price]),Table135[Age]),1,2))*EXP(INDEX(LINEST(LN(Table135[Price]),Table135[Age]),1,1)*Table135[[#This Row],[Age]])/Table135[[#This Row],[Price]]</f>
        <v>0.99265889184878986</v>
      </c>
      <c r="M48" s="4">
        <f ca="1">Table135[[#This Row],[Column1]]*VALUE(SUBSTITUTE(LEFT(Table135[[#This Row],[normal price/real milage]],3),",",""))</f>
        <v>0.89339300266391086</v>
      </c>
      <c r="N48" s="4"/>
    </row>
    <row r="49" spans="1:14" x14ac:dyDescent="0.25">
      <c r="A49" s="1">
        <v>45077</v>
      </c>
      <c r="B49">
        <v>23</v>
      </c>
      <c r="C49" s="5">
        <v>17990</v>
      </c>
      <c r="D49">
        <v>2016</v>
      </c>
      <c r="E49" t="s">
        <v>0</v>
      </c>
      <c r="F49" t="s">
        <v>7</v>
      </c>
      <c r="G49">
        <v>129000</v>
      </c>
      <c r="H49" s="4">
        <f>Table135[[#This Row],[Price]]/Table135[[#This Row],[Mileage]]</f>
        <v>0.13945736434108527</v>
      </c>
      <c r="I49" s="3">
        <f ca="1">Table135[[#This Row],[Price]]/Table135[[#This Row],[Age]]</f>
        <v>2570</v>
      </c>
      <c r="J49">
        <f ca="1">IF(YEAR(TODAY())=Table135[[#This Row],[year]],0.8,YEAR(TODAY())-Table135[[#This Row],[year]])</f>
        <v>7</v>
      </c>
      <c r="K4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0.986      -244</v>
      </c>
      <c r="L49" s="4">
        <f t="array" aca="1" ref="L49" ca="1">EXP(INDEX(LINEST(LN(Table135[Price]),Table135[Age]),1,2))*EXP(INDEX(LINEST(LN(Table135[Price]),Table135[Age]),1,1)*Table135[[#This Row],[Age]])/Table135[[#This Row],[Price]]</f>
        <v>0.94874469589749788</v>
      </c>
      <c r="M49" s="4">
        <f ca="1">Table135[[#This Row],[Column1]]*VALUE(SUBSTITUTE(LEFT(Table135[[#This Row],[normal price/real milage]],3),",",""))</f>
        <v>0.85387022630774811</v>
      </c>
      <c r="N49" s="4"/>
    </row>
    <row r="50" spans="1:14" x14ac:dyDescent="0.25">
      <c r="A50" s="1">
        <v>45077</v>
      </c>
      <c r="B50">
        <v>2</v>
      </c>
      <c r="C50" s="5">
        <v>14555</v>
      </c>
      <c r="D50">
        <v>2015</v>
      </c>
      <c r="E50" t="s">
        <v>0</v>
      </c>
      <c r="F50" t="s">
        <v>2</v>
      </c>
      <c r="G50">
        <v>169000</v>
      </c>
      <c r="H50" s="4">
        <f>Table135[[#This Row],[Price]]/Table135[[#This Row],[Mileage]]</f>
        <v>8.6124260355029583E-2</v>
      </c>
      <c r="I50" s="3">
        <f ca="1">Table135[[#This Row],[Price]]/Table135[[#This Row],[Age]]</f>
        <v>1819.375</v>
      </c>
      <c r="J50">
        <f ca="1">IF(YEAR(TODAY())=Table135[[#This Row],[year]],0.8,YEAR(TODAY())-Table135[[#This Row],[year]])</f>
        <v>8</v>
      </c>
      <c r="K5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0.852      -2,153</v>
      </c>
      <c r="L50" s="4">
        <f t="array" aca="1" ref="L50" ca="1">EXP(INDEX(LINEST(LN(Table135[Price]),Table135[Age]),1,2))*EXP(INDEX(LINEST(LN(Table135[Price]),Table135[Age]),1,1)*Table135[[#This Row],[Age]])/Table135[[#This Row],[Price]]</f>
        <v>1.0132012692599865</v>
      </c>
      <c r="M50" s="4">
        <f ca="1">Table135[[#This Row],[Column1]]*VALUE(SUBSTITUTE(LEFT(Table135[[#This Row],[normal price/real milage]],3),",",""))</f>
        <v>0.8105610154079893</v>
      </c>
      <c r="N50" s="4"/>
    </row>
    <row r="51" spans="1:14" x14ac:dyDescent="0.25">
      <c r="A51" s="1">
        <v>45077</v>
      </c>
      <c r="B51">
        <v>80</v>
      </c>
      <c r="C51" s="5">
        <v>30596</v>
      </c>
      <c r="D51">
        <v>2020</v>
      </c>
      <c r="E51" t="s">
        <v>0</v>
      </c>
      <c r="F51" t="s">
        <v>1</v>
      </c>
      <c r="G51">
        <v>28000</v>
      </c>
      <c r="H51" s="4">
        <f>Table135[[#This Row],[Price]]/Table135[[#This Row],[Mileage]]</f>
        <v>1.0927142857142857</v>
      </c>
      <c r="I51" s="3">
        <f ca="1">Table135[[#This Row],[Price]]/Table135[[#This Row],[Age]]</f>
        <v>10198.666666666666</v>
      </c>
      <c r="J51">
        <f ca="1">IF(YEAR(TODAY())=Table135[[#This Row],[year]],0.8,YEAR(TODAY())-Table135[[#This Row],[year]])</f>
        <v>3</v>
      </c>
      <c r="K5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1.021      644</v>
      </c>
      <c r="L51" s="4">
        <f t="array" aca="1" ref="L51" ca="1">EXP(INDEX(LINEST(LN(Table135[Price]),Table135[Age]),1,2))*EXP(INDEX(LINEST(LN(Table135[Price]),Table135[Age]),1,1)*Table135[[#This Row],[Age]])/Table135[[#This Row],[Price]]</f>
        <v>1.0009358151407415</v>
      </c>
      <c r="M51" s="4">
        <f ca="1">Table135[[#This Row],[Column1]]*VALUE(SUBSTITUTE(LEFT(Table135[[#This Row],[normal price/real milage]],3),",",""))</f>
        <v>1.0009358151407415</v>
      </c>
      <c r="N51" s="4"/>
    </row>
    <row r="52" spans="1:14" x14ac:dyDescent="0.25">
      <c r="A52" s="1">
        <v>45077</v>
      </c>
      <c r="B52">
        <v>41</v>
      </c>
      <c r="C52" s="5">
        <v>27988</v>
      </c>
      <c r="D52">
        <v>2019</v>
      </c>
      <c r="E52" t="s">
        <v>0</v>
      </c>
      <c r="F52" t="s">
        <v>9</v>
      </c>
      <c r="G52">
        <v>43000</v>
      </c>
      <c r="H52" s="4">
        <f>Table135[[#This Row],[Price]]/Table135[[#This Row],[Mileage]]</f>
        <v>0.65088372093023261</v>
      </c>
      <c r="I52" s="3">
        <f ca="1">Table135[[#This Row],[Price]]/Table135[[#This Row],[Age]]</f>
        <v>6997</v>
      </c>
      <c r="J52">
        <f ca="1">IF(YEAR(TODAY())=Table135[[#This Row],[year]],0.8,YEAR(TODAY())-Table135[[#This Row],[year]])</f>
        <v>4</v>
      </c>
      <c r="K5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1.045      1,248</v>
      </c>
      <c r="L52" s="4">
        <f t="array" aca="1" ref="L52" ca="1">EXP(INDEX(LINEST(LN(Table135[Price]),Table135[Age]),1,2))*EXP(INDEX(LINEST(LN(Table135[Price]),Table135[Age]),1,1)*Table135[[#This Row],[Age]])/Table135[[#This Row],[Price]]</f>
        <v>0.94542357360776219</v>
      </c>
      <c r="M52" s="4">
        <f ca="1">Table135[[#This Row],[Column1]]*VALUE(SUBSTITUTE(LEFT(Table135[[#This Row],[normal price/real milage]],3),",",""))</f>
        <v>0.94542357360776219</v>
      </c>
      <c r="N52" s="4"/>
    </row>
    <row r="53" spans="1:14" x14ac:dyDescent="0.25">
      <c r="A53" s="1">
        <v>45077</v>
      </c>
      <c r="B53">
        <v>6</v>
      </c>
      <c r="C53" s="5">
        <v>22990</v>
      </c>
      <c r="D53">
        <v>2018</v>
      </c>
      <c r="E53" t="s">
        <v>0</v>
      </c>
      <c r="F53" t="s">
        <v>4</v>
      </c>
      <c r="G53">
        <v>103000</v>
      </c>
      <c r="H53" s="4">
        <f>Table135[[#This Row],[Price]]/Table135[[#This Row],[Mileage]]</f>
        <v>0.22320388349514564</v>
      </c>
      <c r="I53" s="3">
        <f ca="1">Table135[[#This Row],[Price]]/Table135[[#This Row],[Age]]</f>
        <v>4598</v>
      </c>
      <c r="J53">
        <f ca="1">IF(YEAR(TODAY())=Table135[[#This Row],[year]],0.8,YEAR(TODAY())-Table135[[#This Row],[year]])</f>
        <v>5</v>
      </c>
      <c r="K5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0.923      -1,770</v>
      </c>
      <c r="L53" s="4">
        <f t="array" aca="1" ref="L53" ca="1">EXP(INDEX(LINEST(LN(Table135[Price]),Table135[Age]),1,2))*EXP(INDEX(LINEST(LN(Table135[Price]),Table135[Age]),1,1)*Table135[[#This Row],[Age]])/Table135[[#This Row],[Price]]</f>
        <v>0.99445865446083792</v>
      </c>
      <c r="M53" s="4">
        <f ca="1">Table135[[#This Row],[Column1]]*VALUE(SUBSTITUTE(LEFT(Table135[[#This Row],[normal price/real milage]],3),",",""))</f>
        <v>0.89501278901475412</v>
      </c>
      <c r="N53" s="4"/>
    </row>
    <row r="54" spans="1:14" x14ac:dyDescent="0.25">
      <c r="A54" s="1">
        <v>45077</v>
      </c>
      <c r="B54">
        <v>12</v>
      </c>
      <c r="C54" s="5">
        <v>22995</v>
      </c>
      <c r="D54">
        <v>2018</v>
      </c>
      <c r="E54" t="s">
        <v>0</v>
      </c>
      <c r="F54" t="s">
        <v>9</v>
      </c>
      <c r="G54">
        <v>89000</v>
      </c>
      <c r="H54" s="4">
        <f>Table135[[#This Row],[Price]]/Table135[[#This Row],[Mileage]]</f>
        <v>0.25837078651685391</v>
      </c>
      <c r="I54" s="3">
        <f ca="1">Table135[[#This Row],[Price]]/Table135[[#This Row],[Age]]</f>
        <v>4599</v>
      </c>
      <c r="J54">
        <f ca="1">IF(YEAR(TODAY())=Table135[[#This Row],[year]],0.8,YEAR(TODAY())-Table135[[#This Row],[year]])</f>
        <v>5</v>
      </c>
      <c r="K5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1.004      95</v>
      </c>
      <c r="L54" s="4">
        <f t="array" aca="1" ref="L54" ca="1">EXP(INDEX(LINEST(LN(Table135[Price]),Table135[Age]),1,2))*EXP(INDEX(LINEST(LN(Table135[Price]),Table135[Age]),1,1)*Table135[[#This Row],[Age]])/Table135[[#This Row],[Price]]</f>
        <v>0.99424242078950487</v>
      </c>
      <c r="M54" s="4">
        <f ca="1">Table135[[#This Row],[Column1]]*VALUE(SUBSTITUTE(LEFT(Table135[[#This Row],[normal price/real milage]],3),",",""))</f>
        <v>0.99424242078950487</v>
      </c>
      <c r="N54" s="4"/>
    </row>
    <row r="55" spans="1:14" x14ac:dyDescent="0.25">
      <c r="A55" s="1">
        <v>45077</v>
      </c>
      <c r="B55">
        <v>2</v>
      </c>
      <c r="C55" s="5">
        <v>28555</v>
      </c>
      <c r="D55">
        <v>2019</v>
      </c>
      <c r="E55" t="s">
        <v>0</v>
      </c>
      <c r="F55" t="s">
        <v>5</v>
      </c>
      <c r="G55">
        <v>41000</v>
      </c>
      <c r="H55" s="4">
        <f>Table135[[#This Row],[Price]]/Table135[[#This Row],[Mileage]]</f>
        <v>0.69646341463414629</v>
      </c>
      <c r="I55" s="3">
        <f ca="1">Table135[[#This Row],[Price]]/Table135[[#This Row],[Age]]</f>
        <v>7138.75</v>
      </c>
      <c r="J55">
        <f ca="1">IF(YEAR(TODAY())=Table135[[#This Row],[year]],0.8,YEAR(TODAY())-Table135[[#This Row],[year]])</f>
        <v>4</v>
      </c>
      <c r="K5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1.033      948</v>
      </c>
      <c r="L55" s="4">
        <f t="array" aca="1" ref="L55" ca="1">EXP(INDEX(LINEST(LN(Table135[Price]),Table135[Age]),1,2))*EXP(INDEX(LINEST(LN(Table135[Price]),Table135[Age]),1,1)*Table135[[#This Row],[Age]])/Table135[[#This Row],[Price]]</f>
        <v>0.9266508484725634</v>
      </c>
      <c r="M55" s="4">
        <f ca="1">Table135[[#This Row],[Column1]]*VALUE(SUBSTITUTE(LEFT(Table135[[#This Row],[normal price/real milage]],3),",",""))</f>
        <v>0.9266508484725634</v>
      </c>
      <c r="N55" s="4"/>
    </row>
    <row r="56" spans="1:14" x14ac:dyDescent="0.25">
      <c r="A56" s="1">
        <v>45077</v>
      </c>
      <c r="B56">
        <v>81</v>
      </c>
      <c r="C56" s="5">
        <v>32495</v>
      </c>
      <c r="D56">
        <v>2021</v>
      </c>
      <c r="E56" t="s">
        <v>0</v>
      </c>
      <c r="F56" t="s">
        <v>15</v>
      </c>
      <c r="G56">
        <v>34000</v>
      </c>
      <c r="H56" s="4">
        <f>Table135[[#This Row],[Price]]/Table135[[#This Row],[Mileage]]</f>
        <v>0.95573529411764702</v>
      </c>
      <c r="I56" s="3">
        <f ca="1">Table135[[#This Row],[Price]]/Table135[[#This Row],[Age]]</f>
        <v>16247.5</v>
      </c>
      <c r="J56">
        <f ca="1">IF(YEAR(TODAY())=Table135[[#This Row],[year]],0.8,YEAR(TODAY())-Table135[[#This Row],[year]])</f>
        <v>2</v>
      </c>
      <c r="K5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0.937      -2,056</v>
      </c>
      <c r="L56" s="4">
        <f t="array" aca="1" ref="L56" ca="1">EXP(INDEX(LINEST(LN(Table135[Price]),Table135[Age]),1,2))*EXP(INDEX(LINEST(LN(Table135[Price]),Table135[Age]),1,1)*Table135[[#This Row],[Age]])/Table135[[#This Row],[Price]]</f>
        <v>1.0907542895103137</v>
      </c>
      <c r="M56" s="4">
        <f ca="1">Table135[[#This Row],[Column1]]*VALUE(SUBSTITUTE(LEFT(Table135[[#This Row],[normal price/real milage]],3),",",""))</f>
        <v>0.98167886055928233</v>
      </c>
      <c r="N56" s="4"/>
    </row>
    <row r="57" spans="1:14" x14ac:dyDescent="0.25">
      <c r="A57" s="1">
        <v>45077</v>
      </c>
      <c r="B57">
        <v>35</v>
      </c>
      <c r="C57" s="5">
        <v>26495</v>
      </c>
      <c r="D57">
        <v>2018</v>
      </c>
      <c r="E57" t="s">
        <v>0</v>
      </c>
      <c r="F57" t="s">
        <v>1</v>
      </c>
      <c r="G57">
        <v>56000</v>
      </c>
      <c r="H57" s="4">
        <f>Table135[[#This Row],[Price]]/Table135[[#This Row],[Mileage]]</f>
        <v>0.47312500000000002</v>
      </c>
      <c r="I57" s="3">
        <f ca="1">Table135[[#This Row],[Price]]/Table135[[#This Row],[Age]]</f>
        <v>5299</v>
      </c>
      <c r="J57">
        <f ca="1">IF(YEAR(TODAY())=Table135[[#This Row],[year]],0.8,YEAR(TODAY())-Table135[[#This Row],[year]])</f>
        <v>5</v>
      </c>
      <c r="K5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1.038      1,004</v>
      </c>
      <c r="L57" s="4">
        <f t="array" aca="1" ref="L57" ca="1">EXP(INDEX(LINEST(LN(Table135[Price]),Table135[Age]),1,2))*EXP(INDEX(LINEST(LN(Table135[Price]),Table135[Age]),1,1)*Table135[[#This Row],[Age]])/Table135[[#This Row],[Price]]</f>
        <v>0.86290260298375787</v>
      </c>
      <c r="M57" s="4">
        <f ca="1">Table135[[#This Row],[Column1]]*VALUE(SUBSTITUTE(LEFT(Table135[[#This Row],[normal price/real milage]],3),",",""))</f>
        <v>0.86290260298375787</v>
      </c>
      <c r="N57" s="4"/>
    </row>
    <row r="58" spans="1:14" x14ac:dyDescent="0.25">
      <c r="A58" s="1">
        <v>45077</v>
      </c>
      <c r="B58">
        <v>85</v>
      </c>
      <c r="C58" s="5">
        <v>32995</v>
      </c>
      <c r="D58">
        <v>2021</v>
      </c>
      <c r="E58" t="s">
        <v>0</v>
      </c>
      <c r="F58" t="s">
        <v>15</v>
      </c>
      <c r="G58">
        <v>34000</v>
      </c>
      <c r="H58" s="4">
        <f>Table135[[#This Row],[Price]]/Table135[[#This Row],[Mileage]]</f>
        <v>0.97044117647058825</v>
      </c>
      <c r="I58" s="3">
        <f ca="1">Table135[[#This Row],[Price]]/Table135[[#This Row],[Age]]</f>
        <v>16497.5</v>
      </c>
      <c r="J58">
        <f ca="1">IF(YEAR(TODAY())=Table135[[#This Row],[year]],0.8,YEAR(TODAY())-Table135[[#This Row],[year]])</f>
        <v>2</v>
      </c>
      <c r="K5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0.923      -2,556</v>
      </c>
      <c r="L58" s="4">
        <f t="array" aca="1" ref="L58" ca="1">EXP(INDEX(LINEST(LN(Table135[Price]),Table135[Age]),1,2))*EXP(INDEX(LINEST(LN(Table135[Price]),Table135[Age]),1,1)*Table135[[#This Row],[Age]])/Table135[[#This Row],[Price]]</f>
        <v>1.074225204959468</v>
      </c>
      <c r="M58" s="4">
        <f ca="1">Table135[[#This Row],[Column1]]*VALUE(SUBSTITUTE(LEFT(Table135[[#This Row],[normal price/real milage]],3),",",""))</f>
        <v>0.96680268446352124</v>
      </c>
      <c r="N58" s="4"/>
    </row>
    <row r="59" spans="1:14" x14ac:dyDescent="0.25">
      <c r="A59" s="1">
        <v>45077</v>
      </c>
      <c r="B59">
        <v>52</v>
      </c>
      <c r="C59" s="5">
        <v>26999</v>
      </c>
      <c r="D59">
        <v>2019</v>
      </c>
      <c r="E59" t="s">
        <v>0</v>
      </c>
      <c r="F59" t="s">
        <v>4</v>
      </c>
      <c r="G59">
        <v>75000</v>
      </c>
      <c r="H59" s="4">
        <f>Table135[[#This Row],[Price]]/Table135[[#This Row],[Mileage]]</f>
        <v>0.35998666666666668</v>
      </c>
      <c r="I59" s="3">
        <f ca="1">Table135[[#This Row],[Price]]/Table135[[#This Row],[Age]]</f>
        <v>6749.75</v>
      </c>
      <c r="J59">
        <f ca="1">IF(YEAR(TODAY())=Table135[[#This Row],[year]],0.8,YEAR(TODAY())-Table135[[#This Row],[year]])</f>
        <v>4</v>
      </c>
      <c r="K5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0.925      -2,038</v>
      </c>
      <c r="L59" s="4">
        <f t="array" aca="1" ref="L59" ca="1">EXP(INDEX(LINEST(LN(Table135[Price]),Table135[Age]),1,2))*EXP(INDEX(LINEST(LN(Table135[Price]),Table135[Age]),1,1)*Table135[[#This Row],[Age]])/Table135[[#This Row],[Price]]</f>
        <v>0.98005537161132072</v>
      </c>
      <c r="M59" s="4">
        <f ca="1">Table135[[#This Row],[Column1]]*VALUE(SUBSTITUTE(LEFT(Table135[[#This Row],[normal price/real milage]],3),",",""))</f>
        <v>0.8820498344501887</v>
      </c>
      <c r="N59" s="4"/>
    </row>
    <row r="60" spans="1:14" x14ac:dyDescent="0.25">
      <c r="A60" s="1">
        <v>45077</v>
      </c>
      <c r="B60">
        <v>63</v>
      </c>
      <c r="C60" s="5">
        <v>27500</v>
      </c>
      <c r="D60">
        <v>2019</v>
      </c>
      <c r="E60" t="s">
        <v>0</v>
      </c>
      <c r="F60" t="s">
        <v>1</v>
      </c>
      <c r="G60">
        <v>71000</v>
      </c>
      <c r="H60" s="4">
        <f>Table135[[#This Row],[Price]]/Table135[[#This Row],[Mileage]]</f>
        <v>0.38732394366197181</v>
      </c>
      <c r="I60" s="3">
        <f ca="1">Table135[[#This Row],[Price]]/Table135[[#This Row],[Age]]</f>
        <v>6875</v>
      </c>
      <c r="J60">
        <f ca="1">IF(YEAR(TODAY())=Table135[[#This Row],[year]],0.8,YEAR(TODAY())-Table135[[#This Row],[year]])</f>
        <v>4</v>
      </c>
      <c r="K6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0.927      -2,005</v>
      </c>
      <c r="L60" s="4">
        <f t="array" aca="1" ref="L60" ca="1">EXP(INDEX(LINEST(LN(Table135[Price]),Table135[Age]),1,2))*EXP(INDEX(LINEST(LN(Table135[Price]),Table135[Age]),1,1)*Table135[[#This Row],[Age]])/Table135[[#This Row],[Price]]</f>
        <v>0.96220054465941995</v>
      </c>
      <c r="M60" s="4">
        <f ca="1">Table135[[#This Row],[Column1]]*VALUE(SUBSTITUTE(LEFT(Table135[[#This Row],[normal price/real milage]],3),",",""))</f>
        <v>0.865980490193478</v>
      </c>
      <c r="N60" s="4"/>
    </row>
    <row r="61" spans="1:14" x14ac:dyDescent="0.25">
      <c r="A61" s="1">
        <v>45077</v>
      </c>
      <c r="B61">
        <v>48</v>
      </c>
      <c r="C61" s="5">
        <v>33995</v>
      </c>
      <c r="D61">
        <v>2021</v>
      </c>
      <c r="E61" t="s">
        <v>0</v>
      </c>
      <c r="F61" t="s">
        <v>9</v>
      </c>
      <c r="G61">
        <v>23000</v>
      </c>
      <c r="H61" s="4">
        <f>Table135[[#This Row],[Price]]/Table135[[#This Row],[Mileage]]</f>
        <v>1.4780434782608696</v>
      </c>
      <c r="I61" s="3">
        <f ca="1">Table135[[#This Row],[Price]]/Table135[[#This Row],[Age]]</f>
        <v>16997.5</v>
      </c>
      <c r="J61">
        <f ca="1">IF(YEAR(TODAY())=Table135[[#This Row],[year]],0.8,YEAR(TODAY())-Table135[[#This Row],[year]])</f>
        <v>2</v>
      </c>
      <c r="K6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0.939      -2,087</v>
      </c>
      <c r="L61" s="4">
        <f t="array" aca="1" ref="L61" ca="1">EXP(INDEX(LINEST(LN(Table135[Price]),Table135[Age]),1,2))*EXP(INDEX(LINEST(LN(Table135[Price]),Table135[Age]),1,1)*Table135[[#This Row],[Age]])/Table135[[#This Row],[Price]]</f>
        <v>1.042625699003902</v>
      </c>
      <c r="M61" s="4">
        <f ca="1">Table135[[#This Row],[Column1]]*VALUE(SUBSTITUTE(LEFT(Table135[[#This Row],[normal price/real milage]],3),",",""))</f>
        <v>0.93836312910351183</v>
      </c>
      <c r="N61" s="4"/>
    </row>
    <row r="62" spans="1:14" x14ac:dyDescent="0.25">
      <c r="A62" s="1">
        <v>45077</v>
      </c>
      <c r="B62">
        <v>37</v>
      </c>
      <c r="C62" s="5">
        <v>33995</v>
      </c>
      <c r="D62">
        <v>2021</v>
      </c>
      <c r="E62" t="s">
        <v>0</v>
      </c>
      <c r="F62" t="s">
        <v>9</v>
      </c>
      <c r="G62">
        <v>24000</v>
      </c>
      <c r="H62" s="4">
        <f>Table135[[#This Row],[Price]]/Table135[[#This Row],[Mileage]]</f>
        <v>1.4164583333333334</v>
      </c>
      <c r="I62" s="3">
        <f ca="1">Table135[[#This Row],[Price]]/Table135[[#This Row],[Age]]</f>
        <v>16997.5</v>
      </c>
      <c r="J62">
        <f ca="1">IF(YEAR(TODAY())=Table135[[#This Row],[year]],0.8,YEAR(TODAY())-Table135[[#This Row],[year]])</f>
        <v>2</v>
      </c>
      <c r="K6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0.935      -2,220</v>
      </c>
      <c r="L62" s="4">
        <f t="array" aca="1" ref="L62" ca="1">EXP(INDEX(LINEST(LN(Table135[Price]),Table135[Age]),1,2))*EXP(INDEX(LINEST(LN(Table135[Price]),Table135[Age]),1,1)*Table135[[#This Row],[Age]])/Table135[[#This Row],[Price]]</f>
        <v>1.042625699003902</v>
      </c>
      <c r="M62" s="4">
        <f ca="1">Table135[[#This Row],[Column1]]*VALUE(SUBSTITUTE(LEFT(Table135[[#This Row],[normal price/real milage]],3),",",""))</f>
        <v>0.93836312910351183</v>
      </c>
      <c r="N62" s="4"/>
    </row>
    <row r="63" spans="1:14" x14ac:dyDescent="0.25">
      <c r="A63" s="1">
        <v>45077</v>
      </c>
      <c r="B63">
        <v>65</v>
      </c>
      <c r="C63" s="5">
        <v>22444</v>
      </c>
      <c r="D63">
        <v>2018</v>
      </c>
      <c r="E63" t="s">
        <v>0</v>
      </c>
      <c r="F63" t="s">
        <v>9</v>
      </c>
      <c r="G63">
        <v>120000</v>
      </c>
      <c r="H63" s="4">
        <f>Table135[[#This Row],[Price]]/Table135[[#This Row],[Mileage]]</f>
        <v>0.18703333333333333</v>
      </c>
      <c r="I63" s="3">
        <f ca="1">Table135[[#This Row],[Price]]/Table135[[#This Row],[Age]]</f>
        <v>4488.8</v>
      </c>
      <c r="J63">
        <f ca="1">IF(YEAR(TODAY())=Table135[[#This Row],[year]],0.8,YEAR(TODAY())-Table135[[#This Row],[year]])</f>
        <v>5</v>
      </c>
      <c r="K6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0.844      -3,496</v>
      </c>
      <c r="L63" s="4">
        <f t="array" aca="1" ref="L63" ca="1">EXP(INDEX(LINEST(LN(Table135[Price]),Table135[Age]),1,2))*EXP(INDEX(LINEST(LN(Table135[Price]),Table135[Age]),1,1)*Table135[[#This Row],[Age]])/Table135[[#This Row],[Price]]</f>
        <v>1.0186510633601258</v>
      </c>
      <c r="M63" s="4">
        <f ca="1">Table135[[#This Row],[Column1]]*VALUE(SUBSTITUTE(LEFT(Table135[[#This Row],[normal price/real milage]],3),",",""))</f>
        <v>0.81492085068810072</v>
      </c>
      <c r="N63" s="4"/>
    </row>
    <row r="64" spans="1:14" x14ac:dyDescent="0.25">
      <c r="A64" s="1">
        <v>45077</v>
      </c>
      <c r="B64">
        <v>44</v>
      </c>
      <c r="C64" s="5">
        <v>28650</v>
      </c>
      <c r="D64">
        <v>2018</v>
      </c>
      <c r="E64" t="s">
        <v>0</v>
      </c>
      <c r="F64" t="s">
        <v>9</v>
      </c>
      <c r="G64">
        <v>44000</v>
      </c>
      <c r="H64" s="4">
        <f>Table135[[#This Row],[Price]]/Table135[[#This Row],[Mileage]]</f>
        <v>0.65113636363636362</v>
      </c>
      <c r="I64" s="3">
        <f ca="1">Table135[[#This Row],[Price]]/Table135[[#This Row],[Age]]</f>
        <v>5730</v>
      </c>
      <c r="J64">
        <f ca="1">IF(YEAR(TODAY())=Table135[[#This Row],[year]],0.8,YEAR(TODAY())-Table135[[#This Row],[year]])</f>
        <v>5</v>
      </c>
      <c r="K6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1.016      453</v>
      </c>
      <c r="L64" s="4">
        <f t="array" aca="1" ref="L64" ca="1">EXP(INDEX(LINEST(LN(Table135[Price]),Table135[Age]),1,2))*EXP(INDEX(LINEST(LN(Table135[Price]),Table135[Age]),1,1)*Table135[[#This Row],[Age]])/Table135[[#This Row],[Price]]</f>
        <v>0.79799666548183823</v>
      </c>
      <c r="M64" s="4">
        <f ca="1">Table135[[#This Row],[Column1]]*VALUE(SUBSTITUTE(LEFT(Table135[[#This Row],[normal price/real milage]],3),",",""))</f>
        <v>0.79799666548183823</v>
      </c>
      <c r="N64" s="4"/>
    </row>
    <row r="65" spans="1:14" x14ac:dyDescent="0.25">
      <c r="A65" s="1">
        <v>45077</v>
      </c>
      <c r="B65">
        <v>82</v>
      </c>
      <c r="C65" s="5">
        <v>31722</v>
      </c>
      <c r="D65">
        <v>2020</v>
      </c>
      <c r="E65" t="s">
        <v>0</v>
      </c>
      <c r="F65" t="s">
        <v>1</v>
      </c>
      <c r="G65">
        <v>34000</v>
      </c>
      <c r="H65" s="4">
        <f>Table135[[#This Row],[Price]]/Table135[[#This Row],[Mileage]]</f>
        <v>0.93300000000000005</v>
      </c>
      <c r="I65" s="3">
        <f ca="1">Table135[[#This Row],[Price]]/Table135[[#This Row],[Age]]</f>
        <v>10574</v>
      </c>
      <c r="J65">
        <f ca="1">IF(YEAR(TODAY())=Table135[[#This Row],[year]],0.8,YEAR(TODAY())-Table135[[#This Row],[year]])</f>
        <v>3</v>
      </c>
      <c r="K6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0.960      -1,283</v>
      </c>
      <c r="L65" s="4">
        <f t="array" aca="1" ref="L65" ca="1">EXP(INDEX(LINEST(LN(Table135[Price]),Table135[Age]),1,2))*EXP(INDEX(LINEST(LN(Table135[Price]),Table135[Age]),1,1)*Table135[[#This Row],[Age]])/Table135[[#This Row],[Price]]</f>
        <v>0.96540672719393894</v>
      </c>
      <c r="M65" s="4">
        <f ca="1">Table135[[#This Row],[Column1]]*VALUE(SUBSTITUTE(LEFT(Table135[[#This Row],[normal price/real milage]],3),",",""))</f>
        <v>0.86886605447454501</v>
      </c>
      <c r="N65" s="4"/>
    </row>
    <row r="66" spans="1:14" x14ac:dyDescent="0.25">
      <c r="A66" s="1">
        <v>45077</v>
      </c>
      <c r="B66">
        <v>34</v>
      </c>
      <c r="C66" s="5">
        <v>25494</v>
      </c>
      <c r="D66">
        <v>2019</v>
      </c>
      <c r="E66" t="s">
        <v>0</v>
      </c>
      <c r="F66" t="s">
        <v>29</v>
      </c>
      <c r="G66">
        <v>91000</v>
      </c>
      <c r="H66" s="4">
        <f>Table135[[#This Row],[Price]]/Table135[[#This Row],[Mileage]]</f>
        <v>0.28015384615384614</v>
      </c>
      <c r="I66" s="3">
        <f ca="1">Table135[[#This Row],[Price]]/Table135[[#This Row],[Age]]</f>
        <v>6373.5</v>
      </c>
      <c r="J66">
        <f ca="1">IF(YEAR(TODAY())=Table135[[#This Row],[year]],0.8,YEAR(TODAY())-Table135[[#This Row],[year]])</f>
        <v>4</v>
      </c>
      <c r="K6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0.895      -2,671</v>
      </c>
      <c r="L66" s="4">
        <f t="array" aca="1" ref="L66" ca="1">EXP(INDEX(LINEST(LN(Table135[Price]),Table135[Age]),1,2))*EXP(INDEX(LINEST(LN(Table135[Price]),Table135[Age]),1,1)*Table135[[#This Row],[Age]])/Table135[[#This Row],[Price]]</f>
        <v>1.0379114685076507</v>
      </c>
      <c r="M66" s="4">
        <f ca="1">Table135[[#This Row],[Column1]]*VALUE(SUBSTITUTE(LEFT(Table135[[#This Row],[normal price/real milage]],3),",",""))</f>
        <v>0.83032917480612056</v>
      </c>
      <c r="N66" s="4"/>
    </row>
    <row r="67" spans="1:14" x14ac:dyDescent="0.25">
      <c r="A67" s="1">
        <v>45077</v>
      </c>
      <c r="B67">
        <v>1</v>
      </c>
      <c r="C67" s="5">
        <v>26000</v>
      </c>
      <c r="D67">
        <v>2018</v>
      </c>
      <c r="E67" t="s">
        <v>0</v>
      </c>
      <c r="F67" t="s">
        <v>28</v>
      </c>
      <c r="G67">
        <v>79000</v>
      </c>
      <c r="H67" s="4">
        <f>Table135[[#This Row],[Price]]/Table135[[#This Row],[Mileage]]</f>
        <v>0.32911392405063289</v>
      </c>
      <c r="I67" s="3">
        <f ca="1">Table135[[#This Row],[Price]]/Table135[[#This Row],[Age]]</f>
        <v>5200</v>
      </c>
      <c r="J67">
        <f ca="1">IF(YEAR(TODAY())=Table135[[#This Row],[year]],0.8,YEAR(TODAY())-Table135[[#This Row],[year]])</f>
        <v>5</v>
      </c>
      <c r="K6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0.939      -1,574</v>
      </c>
      <c r="L67" s="4">
        <f t="array" aca="1" ref="L67" ca="1">EXP(INDEX(LINEST(LN(Table135[Price]),Table135[Age]),1,2))*EXP(INDEX(LINEST(LN(Table135[Price]),Table135[Age]),1,1)*Table135[[#This Row],[Age]])/Table135[[#This Row],[Price]]</f>
        <v>0.87933094100210252</v>
      </c>
      <c r="M67" s="4">
        <f ca="1">Table135[[#This Row],[Column1]]*VALUE(SUBSTITUTE(LEFT(Table135[[#This Row],[normal price/real milage]],3),",",""))</f>
        <v>0.7913978469018923</v>
      </c>
      <c r="N67" s="4"/>
    </row>
    <row r="68" spans="1:14" x14ac:dyDescent="0.25">
      <c r="A68" s="1">
        <v>45077</v>
      </c>
      <c r="B68">
        <v>22</v>
      </c>
      <c r="C68" s="5">
        <v>29695</v>
      </c>
      <c r="D68">
        <v>2019</v>
      </c>
      <c r="E68" t="s">
        <v>0</v>
      </c>
      <c r="F68" t="s">
        <v>4</v>
      </c>
      <c r="G68">
        <v>37000</v>
      </c>
      <c r="H68" s="4">
        <f>Table135[[#This Row],[Price]]/Table135[[#This Row],[Mileage]]</f>
        <v>0.80256756756756753</v>
      </c>
      <c r="I68" s="3">
        <f ca="1">Table135[[#This Row],[Price]]/Table135[[#This Row],[Age]]</f>
        <v>7423.75</v>
      </c>
      <c r="J68">
        <f ca="1">IF(YEAR(TODAY())=Table135[[#This Row],[year]],0.8,YEAR(TODAY())-Table135[[#This Row],[year]])</f>
        <v>4</v>
      </c>
      <c r="K6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1.012      343</v>
      </c>
      <c r="L68" s="4">
        <f t="array" aca="1" ref="L68" ca="1">EXP(INDEX(LINEST(LN(Table135[Price]),Table135[Age]),1,2))*EXP(INDEX(LINEST(LN(Table135[Price]),Table135[Age]),1,1)*Table135[[#This Row],[Age]])/Table135[[#This Row],[Price]]</f>
        <v>0.89107644310941392</v>
      </c>
      <c r="M68" s="4">
        <f ca="1">Table135[[#This Row],[Column1]]*VALUE(SUBSTITUTE(LEFT(Table135[[#This Row],[normal price/real milage]],3),",",""))</f>
        <v>0.89107644310941392</v>
      </c>
      <c r="N68" s="4"/>
    </row>
    <row r="69" spans="1:14" x14ac:dyDescent="0.25">
      <c r="A69" s="1">
        <v>45077</v>
      </c>
      <c r="B69">
        <v>19</v>
      </c>
      <c r="C69" s="5">
        <v>32995</v>
      </c>
      <c r="D69">
        <v>2021</v>
      </c>
      <c r="E69" t="s">
        <v>10</v>
      </c>
      <c r="F69" t="s">
        <v>9</v>
      </c>
      <c r="G69">
        <v>38000</v>
      </c>
      <c r="H69" s="4">
        <f>Table135[[#This Row],[Price]]/Table135[[#This Row],[Mileage]]</f>
        <v>0.8682894736842105</v>
      </c>
      <c r="I69" s="3">
        <f ca="1">Table135[[#This Row],[Price]]/Table135[[#This Row],[Age]]</f>
        <v>16497.5</v>
      </c>
      <c r="J69">
        <f ca="1">IF(YEAR(TODAY())=Table135[[#This Row],[year]],0.8,YEAR(TODAY())-Table135[[#This Row],[year]])</f>
        <v>2</v>
      </c>
      <c r="K6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0.906      -3,091</v>
      </c>
      <c r="L69" s="4">
        <f t="array" aca="1" ref="L69" ca="1">EXP(INDEX(LINEST(LN(Table135[Price]),Table135[Age]),1,2))*EXP(INDEX(LINEST(LN(Table135[Price]),Table135[Age]),1,1)*Table135[[#This Row],[Age]])/Table135[[#This Row],[Price]]</f>
        <v>1.074225204959468</v>
      </c>
      <c r="M69" s="4">
        <f ca="1">Table135[[#This Row],[Column1]]*VALUE(SUBSTITUTE(LEFT(Table135[[#This Row],[normal price/real milage]],3),",",""))</f>
        <v>0.96680268446352124</v>
      </c>
      <c r="N69" s="4"/>
    </row>
    <row r="70" spans="1:14" x14ac:dyDescent="0.25">
      <c r="A70" s="1">
        <v>45077</v>
      </c>
      <c r="B70">
        <v>13</v>
      </c>
      <c r="C70" s="5">
        <v>30500</v>
      </c>
      <c r="D70">
        <v>2019</v>
      </c>
      <c r="E70" t="s">
        <v>0</v>
      </c>
      <c r="F70" t="s">
        <v>1</v>
      </c>
      <c r="G70">
        <v>51000</v>
      </c>
      <c r="H70" s="4">
        <f>Table135[[#This Row],[Price]]/Table135[[#This Row],[Mileage]]</f>
        <v>0.59803921568627449</v>
      </c>
      <c r="I70" s="3">
        <f ca="1">Table135[[#This Row],[Price]]/Table135[[#This Row],[Age]]</f>
        <v>7625</v>
      </c>
      <c r="J70">
        <f ca="1">IF(YEAR(TODAY())=Table135[[#This Row],[year]],0.8,YEAR(TODAY())-Table135[[#This Row],[year]])</f>
        <v>4</v>
      </c>
      <c r="K7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0.924      -2,333</v>
      </c>
      <c r="L70" s="4">
        <f t="array" aca="1" ref="L70" ca="1">EXP(INDEX(LINEST(LN(Table135[Price]),Table135[Age]),1,2))*EXP(INDEX(LINEST(LN(Table135[Price]),Table135[Age]),1,1)*Table135[[#This Row],[Age]])/Table135[[#This Row],[Price]]</f>
        <v>0.86755786813554259</v>
      </c>
      <c r="M70" s="4">
        <f ca="1">Table135[[#This Row],[Column1]]*VALUE(SUBSTITUTE(LEFT(Table135[[#This Row],[normal price/real milage]],3),",",""))</f>
        <v>0.78080208132198836</v>
      </c>
      <c r="N70" s="4"/>
    </row>
    <row r="71" spans="1:14" x14ac:dyDescent="0.25">
      <c r="A71" s="1">
        <v>45077</v>
      </c>
      <c r="B71">
        <v>45</v>
      </c>
      <c r="C71" s="5">
        <v>33797</v>
      </c>
      <c r="D71">
        <v>2021</v>
      </c>
      <c r="E71" t="s">
        <v>0</v>
      </c>
      <c r="F71" t="s">
        <v>30</v>
      </c>
      <c r="G71">
        <v>33000</v>
      </c>
      <c r="H71" s="4">
        <f>Table135[[#This Row],[Price]]/Table135[[#This Row],[Mileage]]</f>
        <v>1.0241515151515153</v>
      </c>
      <c r="I71" s="3">
        <f ca="1">Table135[[#This Row],[Price]]/Table135[[#This Row],[Age]]</f>
        <v>16898.5</v>
      </c>
      <c r="J71">
        <f ca="1">IF(YEAR(TODAY())=Table135[[#This Row],[year]],0.8,YEAR(TODAY())-Table135[[#This Row],[year]])</f>
        <v>2</v>
      </c>
      <c r="K7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0.905      -3,225</v>
      </c>
      <c r="L71" s="4">
        <f t="array" aca="1" ref="L71" ca="1">EXP(INDEX(LINEST(LN(Table135[Price]),Table135[Age]),1,2))*EXP(INDEX(LINEST(LN(Table135[Price]),Table135[Age]),1,1)*Table135[[#This Row],[Age]])/Table135[[#This Row],[Price]]</f>
        <v>1.0487339301605956</v>
      </c>
      <c r="M71" s="4">
        <f ca="1">Table135[[#This Row],[Column1]]*VALUE(SUBSTITUTE(LEFT(Table135[[#This Row],[normal price/real milage]],3),",",""))</f>
        <v>0.94386053714453599</v>
      </c>
      <c r="N71" s="4"/>
    </row>
    <row r="72" spans="1:14" x14ac:dyDescent="0.25">
      <c r="A72" s="1">
        <v>45077</v>
      </c>
      <c r="B72">
        <v>38</v>
      </c>
      <c r="C72">
        <v>24995</v>
      </c>
      <c r="D72">
        <v>2018</v>
      </c>
      <c r="E72" t="s">
        <v>0</v>
      </c>
      <c r="F72" t="s">
        <v>13</v>
      </c>
      <c r="G72">
        <v>99000</v>
      </c>
      <c r="H72" s="4">
        <f>Table135[[#This Row],[Price]]/Table135[[#This Row],[Mileage]]</f>
        <v>0.25247474747474746</v>
      </c>
      <c r="I72" s="3">
        <f ca="1">Table135[[#This Row],[Price]]/Table135[[#This Row],[Age]]</f>
        <v>4999</v>
      </c>
      <c r="J72">
        <f ca="1">IF(YEAR(TODAY())=Table135[[#This Row],[year]],0.8,YEAR(TODAY())-Table135[[#This Row],[year]])</f>
        <v>5</v>
      </c>
      <c r="K7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0.870      -3,241</v>
      </c>
      <c r="L72" s="4">
        <f t="array" aca="1" ref="L72" ca="1">EXP(INDEX(LINEST(LN(Table135[Price]),Table135[Age]),1,2))*EXP(INDEX(LINEST(LN(Table135[Price]),Table135[Age]),1,1)*Table135[[#This Row],[Age]])/Table135[[#This Row],[Price]]</f>
        <v>0.91468711606539965</v>
      </c>
      <c r="M72" s="4">
        <f ca="1">Table135[[#This Row],[Column1]]*VALUE(SUBSTITUTE(LEFT(Table135[[#This Row],[normal price/real milage]],3),",",""))</f>
        <v>0.73174969285231972</v>
      </c>
      <c r="N72" s="4"/>
    </row>
    <row r="73" spans="1:14" x14ac:dyDescent="0.25">
      <c r="A73" s="1">
        <v>45077</v>
      </c>
      <c r="B73">
        <v>3</v>
      </c>
      <c r="C73">
        <v>25000</v>
      </c>
      <c r="D73">
        <v>2018</v>
      </c>
      <c r="E73" t="s">
        <v>0</v>
      </c>
      <c r="F73" t="s">
        <v>7</v>
      </c>
      <c r="G73">
        <v>110000</v>
      </c>
      <c r="H73" s="4">
        <f>Table135[[#This Row],[Price]]/Table135[[#This Row],[Mileage]]</f>
        <v>0.22727272727272727</v>
      </c>
      <c r="I73" s="3">
        <f ca="1">Table135[[#This Row],[Price]]/Table135[[#This Row],[Age]]</f>
        <v>5000</v>
      </c>
      <c r="J73">
        <f ca="1">IF(YEAR(TODAY())=Table135[[#This Row],[year]],0.8,YEAR(TODAY())-Table135[[#This Row],[year]])</f>
        <v>5</v>
      </c>
      <c r="K7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0.811      -4,716</v>
      </c>
      <c r="L73" s="4">
        <f t="array" aca="1" ref="L73" ca="1">EXP(INDEX(LINEST(LN(Table135[Price]),Table135[Age]),1,2))*EXP(INDEX(LINEST(LN(Table135[Price]),Table135[Age]),1,1)*Table135[[#This Row],[Age]])/Table135[[#This Row],[Price]]</f>
        <v>0.91450417864218658</v>
      </c>
      <c r="M73" s="4">
        <f ca="1">Table135[[#This Row],[Column1]]*VALUE(SUBSTITUTE(LEFT(Table135[[#This Row],[normal price/real milage]],3),",",""))</f>
        <v>0.73160334291374929</v>
      </c>
      <c r="N73" s="4"/>
    </row>
    <row r="74" spans="1:14" x14ac:dyDescent="0.25">
      <c r="A74" s="1">
        <v>45077</v>
      </c>
      <c r="B74">
        <v>7</v>
      </c>
      <c r="C74">
        <v>31491</v>
      </c>
      <c r="D74">
        <v>2020</v>
      </c>
      <c r="E74" t="s">
        <v>0</v>
      </c>
      <c r="F74" t="s">
        <v>9</v>
      </c>
      <c r="G74">
        <v>49000</v>
      </c>
      <c r="H74" s="4">
        <f>Table135[[#This Row],[Price]]/Table135[[#This Row],[Mileage]]</f>
        <v>0.64267346938775505</v>
      </c>
      <c r="I74" s="3">
        <f ca="1">Table135[[#This Row],[Price]]/Table135[[#This Row],[Age]]</f>
        <v>10497</v>
      </c>
      <c r="J74">
        <f ca="1">IF(YEAR(TODAY())=Table135[[#This Row],[year]],0.8,YEAR(TODAY())-Table135[[#This Row],[year]])</f>
        <v>3</v>
      </c>
      <c r="K7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0.903      -3,056</v>
      </c>
      <c r="L74" s="4">
        <f t="array" aca="1" ref="L74" ca="1">EXP(INDEX(LINEST(LN(Table135[Price]),Table135[Age]),1,2))*EXP(INDEX(LINEST(LN(Table135[Price]),Table135[Age]),1,1)*Table135[[#This Row],[Age]])/Table135[[#This Row],[Price]]</f>
        <v>0.9724883998617424</v>
      </c>
      <c r="M74" s="4">
        <f ca="1">Table135[[#This Row],[Column1]]*VALUE(SUBSTITUTE(LEFT(Table135[[#This Row],[normal price/real milage]],3),",",""))</f>
        <v>0.87523955987556823</v>
      </c>
      <c r="N74" s="4"/>
    </row>
    <row r="75" spans="1:14" x14ac:dyDescent="0.25">
      <c r="A75" s="1">
        <v>45077</v>
      </c>
      <c r="B75">
        <v>74</v>
      </c>
      <c r="C75">
        <v>34990</v>
      </c>
      <c r="D75">
        <v>2021</v>
      </c>
      <c r="E75" t="s">
        <v>0</v>
      </c>
      <c r="F75" t="s">
        <v>4</v>
      </c>
      <c r="G75">
        <v>32000</v>
      </c>
      <c r="H75" s="4">
        <f>Table135[[#This Row],[Price]]/Table135[[#This Row],[Mileage]]</f>
        <v>1.0934375000000001</v>
      </c>
      <c r="I75" s="3">
        <f ca="1">Table135[[#This Row],[Price]]/Table135[[#This Row],[Age]]</f>
        <v>17495</v>
      </c>
      <c r="J75">
        <f ca="1">IF(YEAR(TODAY())=Table135[[#This Row],[year]],0.8,YEAR(TODAY())-Table135[[#This Row],[year]])</f>
        <v>2</v>
      </c>
      <c r="K7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0.878      -4,284</v>
      </c>
      <c r="L75" s="4">
        <f t="array" aca="1" ref="L75" ca="1">EXP(INDEX(LINEST(LN(Table135[Price]),Table135[Age]),1,2))*EXP(INDEX(LINEST(LN(Table135[Price]),Table135[Age]),1,1)*Table135[[#This Row],[Age]])/Table135[[#This Row],[Price]]</f>
        <v>1.0129768687521477</v>
      </c>
      <c r="M75" s="4">
        <f ca="1">Table135[[#This Row],[Column1]]*VALUE(SUBSTITUTE(LEFT(Table135[[#This Row],[normal price/real milage]],3),",",""))</f>
        <v>0.81038149500171819</v>
      </c>
      <c r="N75" s="4"/>
    </row>
    <row r="76" spans="1:14" x14ac:dyDescent="0.25">
      <c r="A76" s="1">
        <v>45077</v>
      </c>
      <c r="B76">
        <v>16</v>
      </c>
      <c r="C76">
        <v>28500</v>
      </c>
      <c r="D76">
        <v>2019</v>
      </c>
      <c r="E76" t="s">
        <v>0</v>
      </c>
      <c r="F76" t="s">
        <v>1</v>
      </c>
      <c r="G76">
        <v>80000</v>
      </c>
      <c r="H76" s="4">
        <f>Table135[[#This Row],[Price]]/Table135[[#This Row],[Mileage]]</f>
        <v>0.35625000000000001</v>
      </c>
      <c r="I76" s="3">
        <f ca="1">Table135[[#This Row],[Price]]/Table135[[#This Row],[Age]]</f>
        <v>7125</v>
      </c>
      <c r="J76">
        <f ca="1">IF(YEAR(TODAY())=Table135[[#This Row],[year]],0.8,YEAR(TODAY())-Table135[[#This Row],[year]])</f>
        <v>4</v>
      </c>
      <c r="K7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0.852      -4,207</v>
      </c>
      <c r="L76" s="4">
        <f t="array" aca="1" ref="L76" ca="1">EXP(INDEX(LINEST(LN(Table135[Price]),Table135[Age]),1,2))*EXP(INDEX(LINEST(LN(Table135[Price]),Table135[Age]),1,1)*Table135[[#This Row],[Age]])/Table135[[#This Row],[Price]]</f>
        <v>0.92843912203979118</v>
      </c>
      <c r="M76" s="4">
        <f ca="1">Table135[[#This Row],[Column1]]*VALUE(SUBSTITUTE(LEFT(Table135[[#This Row],[normal price/real milage]],3),",",""))</f>
        <v>0.74275129763183301</v>
      </c>
      <c r="N76" s="4"/>
    </row>
    <row r="77" spans="1:14" x14ac:dyDescent="0.25">
      <c r="A77" s="1">
        <v>45077</v>
      </c>
      <c r="B77">
        <v>75</v>
      </c>
      <c r="C77">
        <v>20999</v>
      </c>
      <c r="D77">
        <v>2016</v>
      </c>
      <c r="E77" t="s">
        <v>0</v>
      </c>
      <c r="F77" t="s">
        <v>4</v>
      </c>
      <c r="G77">
        <v>127000</v>
      </c>
      <c r="H77" s="4">
        <f>Table135[[#This Row],[Price]]/Table135[[#This Row],[Mileage]]</f>
        <v>0.1653464566929134</v>
      </c>
      <c r="I77" s="3">
        <f ca="1">Table135[[#This Row],[Price]]/Table135[[#This Row],[Age]]</f>
        <v>2999.8571428571427</v>
      </c>
      <c r="J77">
        <f ca="1">IF(YEAR(TODAY())=Table135[[#This Row],[year]],0.8,YEAR(TODAY())-Table135[[#This Row],[year]])</f>
        <v>7</v>
      </c>
      <c r="K7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0.858      -2,986</v>
      </c>
      <c r="L77" s="4">
        <f t="array" aca="1" ref="L77" ca="1">EXP(INDEX(LINEST(LN(Table135[Price]),Table135[Age]),1,2))*EXP(INDEX(LINEST(LN(Table135[Price]),Table135[Age]),1,1)*Table135[[#This Row],[Age]])/Table135[[#This Row],[Price]]</f>
        <v>0.81279666075508294</v>
      </c>
      <c r="M77" s="4">
        <f ca="1">Table135[[#This Row],[Column1]]*VALUE(SUBSTITUTE(LEFT(Table135[[#This Row],[normal price/real milage]],3),",",""))</f>
        <v>0.65023732860406636</v>
      </c>
      <c r="N77" s="4"/>
    </row>
    <row r="78" spans="1:14" x14ac:dyDescent="0.25">
      <c r="A78" s="1">
        <v>45077</v>
      </c>
      <c r="B78">
        <v>58</v>
      </c>
      <c r="C78">
        <v>25995</v>
      </c>
      <c r="D78">
        <v>2018</v>
      </c>
      <c r="E78" t="s">
        <v>0</v>
      </c>
      <c r="F78" t="s">
        <v>13</v>
      </c>
      <c r="G78">
        <v>99000</v>
      </c>
      <c r="H78" s="4">
        <f>Table135[[#This Row],[Price]]/Table135[[#This Row],[Mileage]]</f>
        <v>0.26257575757575757</v>
      </c>
      <c r="I78" s="3">
        <f ca="1">Table135[[#This Row],[Price]]/Table135[[#This Row],[Age]]</f>
        <v>5199</v>
      </c>
      <c r="J78">
        <f ca="1">IF(YEAR(TODAY())=Table135[[#This Row],[year]],0.8,YEAR(TODAY())-Table135[[#This Row],[year]])</f>
        <v>5</v>
      </c>
      <c r="K7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0.837      -4,241</v>
      </c>
      <c r="L78" s="4">
        <f t="array" aca="1" ref="L78" ca="1">EXP(INDEX(LINEST(LN(Table135[Price]),Table135[Age]),1,2))*EXP(INDEX(LINEST(LN(Table135[Price]),Table135[Age]),1,1)*Table135[[#This Row],[Age]])/Table135[[#This Row],[Price]]</f>
        <v>0.8795000756320317</v>
      </c>
      <c r="M78" s="4">
        <f ca="1">Table135[[#This Row],[Column1]]*VALUE(SUBSTITUTE(LEFT(Table135[[#This Row],[normal price/real milage]],3),",",""))</f>
        <v>0.7036000605056254</v>
      </c>
      <c r="N78" s="4"/>
    </row>
    <row r="79" spans="1:14" x14ac:dyDescent="0.25">
      <c r="A79" s="1">
        <v>45077</v>
      </c>
      <c r="B79">
        <v>0</v>
      </c>
      <c r="C79">
        <v>26000</v>
      </c>
      <c r="D79">
        <v>2018</v>
      </c>
      <c r="E79" t="s">
        <v>0</v>
      </c>
      <c r="F79" t="s">
        <v>1</v>
      </c>
      <c r="G79">
        <v>93000</v>
      </c>
      <c r="H79" s="4">
        <f>Table135[[#This Row],[Price]]/Table135[[#This Row],[Mileage]]</f>
        <v>0.27956989247311825</v>
      </c>
      <c r="I79" s="3">
        <f ca="1">Table135[[#This Row],[Price]]/Table135[[#This Row],[Age]]</f>
        <v>5200</v>
      </c>
      <c r="J79">
        <f ca="1">IF(YEAR(TODAY())=Table135[[#This Row],[year]],0.8,YEAR(TODAY())-Table135[[#This Row],[year]])</f>
        <v>5</v>
      </c>
      <c r="K7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0.868      -3,444</v>
      </c>
      <c r="L79" s="4">
        <f t="array" aca="1" ref="L79" ca="1">EXP(INDEX(LINEST(LN(Table135[Price]),Table135[Age]),1,2))*EXP(INDEX(LINEST(LN(Table135[Price]),Table135[Age]),1,1)*Table135[[#This Row],[Age]])/Table135[[#This Row],[Price]]</f>
        <v>0.87933094100210252</v>
      </c>
      <c r="M79" s="4">
        <f ca="1">Table135[[#This Row],[Column1]]*VALUE(SUBSTITUTE(LEFT(Table135[[#This Row],[normal price/real milage]],3),",",""))</f>
        <v>0.70346475280168208</v>
      </c>
      <c r="N79" s="4"/>
    </row>
    <row r="80" spans="1:14" x14ac:dyDescent="0.25">
      <c r="A80" s="1">
        <v>45077</v>
      </c>
      <c r="B80">
        <v>55</v>
      </c>
      <c r="C80">
        <v>26999</v>
      </c>
      <c r="D80">
        <v>2018</v>
      </c>
      <c r="E80" t="s">
        <v>0</v>
      </c>
      <c r="F80" t="s">
        <v>7</v>
      </c>
      <c r="G80">
        <v>98000</v>
      </c>
      <c r="H80" s="4">
        <f>Table135[[#This Row],[Price]]/Table135[[#This Row],[Mileage]]</f>
        <v>0.27550000000000002</v>
      </c>
      <c r="I80" s="3">
        <f ca="1">Table135[[#This Row],[Price]]/Table135[[#This Row],[Age]]</f>
        <v>5399.8</v>
      </c>
      <c r="J80">
        <f ca="1">IF(YEAR(TODAY())=Table135[[#This Row],[year]],0.8,YEAR(TODAY())-Table135[[#This Row],[year]])</f>
        <v>5</v>
      </c>
      <c r="K8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0.811      -5,111</v>
      </c>
      <c r="L80" s="4">
        <f t="array" aca="1" ref="L80" ca="1">EXP(INDEX(LINEST(LN(Table135[Price]),Table135[Age]),1,2))*EXP(INDEX(LINEST(LN(Table135[Price]),Table135[Age]),1,1)*Table135[[#This Row],[Age]])/Table135[[#This Row],[Price]]</f>
        <v>0.84679449113132577</v>
      </c>
      <c r="M80" s="4">
        <f ca="1">Table135[[#This Row],[Column1]]*VALUE(SUBSTITUTE(LEFT(Table135[[#This Row],[normal price/real milage]],3),",",""))</f>
        <v>0.67743559290506061</v>
      </c>
      <c r="N80" s="4"/>
    </row>
    <row r="81" spans="1:14" x14ac:dyDescent="0.25">
      <c r="A81" s="1">
        <v>45077</v>
      </c>
      <c r="B81">
        <v>6</v>
      </c>
      <c r="C81">
        <v>26272</v>
      </c>
      <c r="D81">
        <v>2019</v>
      </c>
      <c r="E81" t="s">
        <v>0</v>
      </c>
      <c r="F81" t="s">
        <v>8</v>
      </c>
      <c r="G81">
        <v>122000</v>
      </c>
      <c r="H81" s="4">
        <f>Table135[[#This Row],[Price]]/Table135[[#This Row],[Mileage]]</f>
        <v>0.21534426229508197</v>
      </c>
      <c r="I81" s="3">
        <f ca="1">Table135[[#This Row],[Price]]/Table135[[#This Row],[Age]]</f>
        <v>6568</v>
      </c>
      <c r="J81">
        <f ca="1">IF(YEAR(TODAY())=Table135[[#This Row],[year]],0.8,YEAR(TODAY())-Table135[[#This Row],[year]])</f>
        <v>4</v>
      </c>
      <c r="K8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0.711      -7,591</v>
      </c>
      <c r="L81" s="4">
        <f t="array" aca="1" ref="L81" ca="1">EXP(INDEX(LINEST(LN(Table135[Price]),Table135[Age]),1,2))*EXP(INDEX(LINEST(LN(Table135[Price]),Table135[Age]),1,1)*Table135[[#This Row],[Age]])/Table135[[#This Row],[Price]]</f>
        <v>1.0071755092164301</v>
      </c>
      <c r="M81" s="4">
        <f ca="1">Table135[[#This Row],[Column1]]*VALUE(SUBSTITUTE(LEFT(Table135[[#This Row],[normal price/real milage]],3),",",""))</f>
        <v>0.70502285645150098</v>
      </c>
      <c r="N81" s="4"/>
    </row>
    <row r="82" spans="1:14" x14ac:dyDescent="0.25">
      <c r="A82" s="1">
        <v>45077</v>
      </c>
      <c r="B82">
        <v>23</v>
      </c>
      <c r="C82">
        <v>27495</v>
      </c>
      <c r="D82">
        <v>2018</v>
      </c>
      <c r="E82" t="s">
        <v>0</v>
      </c>
      <c r="F82" t="s">
        <v>9</v>
      </c>
      <c r="G82">
        <v>85000</v>
      </c>
      <c r="H82" s="4">
        <f>Table135[[#This Row],[Price]]/Table135[[#This Row],[Mileage]]</f>
        <v>0.32347058823529412</v>
      </c>
      <c r="I82" s="3">
        <f ca="1">Table135[[#This Row],[Price]]/Table135[[#This Row],[Age]]</f>
        <v>5499</v>
      </c>
      <c r="J82">
        <f ca="1">IF(YEAR(TODAY())=Table135[[#This Row],[year]],0.8,YEAR(TODAY())-Table135[[#This Row],[year]])</f>
        <v>5</v>
      </c>
      <c r="K8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0.859      -3,870</v>
      </c>
      <c r="L82" s="4">
        <f t="array" aca="1" ref="L82" ca="1">EXP(INDEX(LINEST(LN(Table135[Price]),Table135[Age]),1,2))*EXP(INDEX(LINEST(LN(Table135[Price]),Table135[Age]),1,1)*Table135[[#This Row],[Age]])/Table135[[#This Row],[Price]]</f>
        <v>0.83151862033295743</v>
      </c>
      <c r="M82" s="4">
        <f ca="1">Table135[[#This Row],[Column1]]*VALUE(SUBSTITUTE(LEFT(Table135[[#This Row],[normal price/real milage]],3),",",""))</f>
        <v>0.66521489626636598</v>
      </c>
      <c r="N82" s="4"/>
    </row>
    <row r="83" spans="1:14" x14ac:dyDescent="0.25">
      <c r="A83" s="1">
        <v>45077</v>
      </c>
      <c r="B83">
        <v>29</v>
      </c>
      <c r="C83">
        <v>27495</v>
      </c>
      <c r="D83">
        <v>2018</v>
      </c>
      <c r="E83" t="s">
        <v>0</v>
      </c>
      <c r="F83" t="s">
        <v>9</v>
      </c>
      <c r="G83">
        <v>86000</v>
      </c>
      <c r="H83" s="4">
        <f>Table135[[#This Row],[Price]]/Table135[[#This Row],[Mileage]]</f>
        <v>0.31970930232558137</v>
      </c>
      <c r="I83" s="3">
        <f ca="1">Table135[[#This Row],[Price]]/Table135[[#This Row],[Age]]</f>
        <v>5499</v>
      </c>
      <c r="J83">
        <f ca="1">IF(YEAR(TODAY())=Table135[[#This Row],[year]],0.8,YEAR(TODAY())-Table135[[#This Row],[year]])</f>
        <v>5</v>
      </c>
      <c r="K8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0.854      -4,004</v>
      </c>
      <c r="L83" s="4">
        <f t="array" aca="1" ref="L83" ca="1">EXP(INDEX(LINEST(LN(Table135[Price]),Table135[Age]),1,2))*EXP(INDEX(LINEST(LN(Table135[Price]),Table135[Age]),1,1)*Table135[[#This Row],[Age]])/Table135[[#This Row],[Price]]</f>
        <v>0.83151862033295743</v>
      </c>
      <c r="M83" s="4">
        <f ca="1">Table135[[#This Row],[Column1]]*VALUE(SUBSTITUTE(LEFT(Table135[[#This Row],[normal price/real milage]],3),",",""))</f>
        <v>0.66521489626636598</v>
      </c>
      <c r="N83" s="4"/>
    </row>
    <row r="84" spans="1:14" x14ac:dyDescent="0.25">
      <c r="A84" s="1">
        <v>45077</v>
      </c>
      <c r="B84">
        <v>11</v>
      </c>
      <c r="C84">
        <v>36988</v>
      </c>
      <c r="D84">
        <v>2022</v>
      </c>
      <c r="E84" t="s">
        <v>0</v>
      </c>
      <c r="F84" t="s">
        <v>3</v>
      </c>
      <c r="G84">
        <v>43000</v>
      </c>
      <c r="H84" s="4">
        <f>Table135[[#This Row],[Price]]/Table135[[#This Row],[Mileage]]</f>
        <v>0.86018604651162789</v>
      </c>
      <c r="I84" s="3">
        <f ca="1">Table135[[#This Row],[Price]]/Table135[[#This Row],[Age]]</f>
        <v>36988</v>
      </c>
      <c r="J84">
        <f ca="1">IF(YEAR(TODAY())=Table135[[#This Row],[year]],0.8,YEAR(TODAY())-Table135[[#This Row],[year]])</f>
        <v>1</v>
      </c>
      <c r="K8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0.790      -7,752</v>
      </c>
      <c r="L84" s="4">
        <f t="array" aca="1" ref="L84" ca="1">EXP(INDEX(LINEST(LN(Table135[Price]),Table135[Age]),1,2))*EXP(INDEX(LINEST(LN(Table135[Price]),Table135[Age]),1,1)*Table135[[#This Row],[Age]])/Table135[[#This Row],[Price]]</f>
        <v>1.1090604320408282</v>
      </c>
      <c r="M84" s="4">
        <f ca="1">Table135[[#This Row],[Column1]]*VALUE(SUBSTITUTE(LEFT(Table135[[#This Row],[normal price/real milage]],3),",",""))</f>
        <v>0.77634230242857971</v>
      </c>
      <c r="N84" s="4"/>
    </row>
    <row r="85" spans="1:14" x14ac:dyDescent="0.25">
      <c r="A85" s="1">
        <v>45077</v>
      </c>
      <c r="B85">
        <v>21</v>
      </c>
      <c r="C85">
        <v>28100</v>
      </c>
      <c r="D85">
        <v>2018</v>
      </c>
      <c r="E85" t="s">
        <v>0</v>
      </c>
      <c r="F85" t="s">
        <v>1</v>
      </c>
      <c r="G85">
        <v>73000</v>
      </c>
      <c r="H85" s="4">
        <f>Table135[[#This Row],[Price]]/Table135[[#This Row],[Mileage]]</f>
        <v>0.38493150684931504</v>
      </c>
      <c r="I85" s="3">
        <f ca="1">Table135[[#This Row],[Price]]/Table135[[#This Row],[Age]]</f>
        <v>5620</v>
      </c>
      <c r="J85">
        <f ca="1">IF(YEAR(TODAY())=Table135[[#This Row],[year]],0.8,YEAR(TODAY())-Table135[[#This Row],[year]])</f>
        <v>5</v>
      </c>
      <c r="K8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0.898      -2,872</v>
      </c>
      <c r="L85" s="4">
        <f t="array" aca="1" ref="L85" ca="1">EXP(INDEX(LINEST(LN(Table135[Price]),Table135[Age]),1,2))*EXP(INDEX(LINEST(LN(Table135[Price]),Table135[Age]),1,1)*Table135[[#This Row],[Age]])/Table135[[#This Row],[Price]]</f>
        <v>0.81361581729731902</v>
      </c>
      <c r="M85" s="4">
        <f ca="1">Table135[[#This Row],[Column1]]*VALUE(SUBSTITUTE(LEFT(Table135[[#This Row],[normal price/real milage]],3),",",""))</f>
        <v>0.65089265383785522</v>
      </c>
      <c r="N85" s="4"/>
    </row>
    <row r="86" spans="1:14" x14ac:dyDescent="0.25">
      <c r="A86">
        <v>45077</v>
      </c>
      <c r="B86">
        <v>42</v>
      </c>
      <c r="C86">
        <v>17995</v>
      </c>
      <c r="D86">
        <v>2018</v>
      </c>
      <c r="E86" t="s">
        <v>0</v>
      </c>
      <c r="F86" t="s">
        <v>1</v>
      </c>
      <c r="G86">
        <v>186000</v>
      </c>
      <c r="H86" s="2">
        <f>Table135[[#This Row],[Price]]/Table135[[#This Row],[Mileage]]</f>
        <v>9.6747311827956983E-2</v>
      </c>
      <c r="I86" s="3">
        <f ca="1">Table135[[#This Row],[Price]]/Table135[[#This Row],[Age]]</f>
        <v>3599</v>
      </c>
      <c r="J86">
        <f ca="1">IF(YEAR(TODAY())=Table135[[#This Row],[year]],0.8,YEAR(TODAY())-Table135[[#This Row],[year]])</f>
        <v>5</v>
      </c>
      <c r="K8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0.563      -7,865</v>
      </c>
      <c r="L86" s="4">
        <f t="array" aca="1" ref="L86" ca="1">EXP(INDEX(LINEST(LN(Table135[Price]),Table135[Age]),1,2))*EXP(INDEX(LINEST(LN(Table135[Price]),Table135[Age]),1,1)*Table135[[#This Row],[Age]])/Table135[[#This Row],[Price]]</f>
        <v>1.2704976085609705</v>
      </c>
      <c r="M86" s="4">
        <f ca="1">Table135[[#This Row],[Column1]]*VALUE(SUBSTITUTE(LEFT(Table135[[#This Row],[normal price/real milage]],3),",",""))</f>
        <v>0.63524880428048525</v>
      </c>
      <c r="N86" s="4"/>
    </row>
    <row r="87" spans="1:14" x14ac:dyDescent="0.25">
      <c r="A87">
        <v>45077</v>
      </c>
      <c r="B87">
        <v>15</v>
      </c>
      <c r="C87">
        <v>33500</v>
      </c>
      <c r="D87">
        <v>2019</v>
      </c>
      <c r="E87" t="s">
        <v>11</v>
      </c>
      <c r="F87" t="s">
        <v>1</v>
      </c>
      <c r="G87">
        <v>45000</v>
      </c>
      <c r="H87" s="2">
        <f>Table135[[#This Row],[Price]]/Table135[[#This Row],[Mileage]]</f>
        <v>0.74444444444444446</v>
      </c>
      <c r="I87" s="3">
        <f ca="1">Table135[[#This Row],[Price]]/Table135[[#This Row],[Age]]</f>
        <v>8375</v>
      </c>
      <c r="J87">
        <f ca="1">IF(YEAR(TODAY())=Table135[[#This Row],[year]],0.8,YEAR(TODAY())-Table135[[#This Row],[year]])</f>
        <v>4</v>
      </c>
      <c r="K8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0.865      -4,531</v>
      </c>
      <c r="L87" s="4">
        <f t="array" aca="1" ref="L87" ca="1">EXP(INDEX(LINEST(LN(Table135[Price]),Table135[Age]),1,2))*EXP(INDEX(LINEST(LN(Table135[Price]),Table135[Age]),1,1)*Table135[[#This Row],[Age]])/Table135[[#This Row],[Price]]</f>
        <v>0.78986611875027013</v>
      </c>
      <c r="M87" s="4">
        <f ca="1">Table135[[#This Row],[Column1]]*VALUE(SUBSTITUTE(LEFT(Table135[[#This Row],[normal price/real milage]],3),",",""))</f>
        <v>0.63189289500021617</v>
      </c>
      <c r="N87" s="4"/>
    </row>
    <row r="88" spans="1:14" x14ac:dyDescent="0.25">
      <c r="A88">
        <v>45077</v>
      </c>
      <c r="B88">
        <v>10</v>
      </c>
      <c r="C88">
        <v>27500</v>
      </c>
      <c r="D88">
        <v>2018</v>
      </c>
      <c r="E88" t="s">
        <v>0</v>
      </c>
      <c r="F88" t="s">
        <v>1</v>
      </c>
      <c r="G88">
        <v>100000</v>
      </c>
      <c r="H88" s="2">
        <f>Table135[[#This Row],[Price]]/Table135[[#This Row],[Mileage]]</f>
        <v>0.27500000000000002</v>
      </c>
      <c r="I88" s="3">
        <f ca="1">Table135[[#This Row],[Price]]/Table135[[#This Row],[Age]]</f>
        <v>5500</v>
      </c>
      <c r="J88">
        <f ca="1">IF(YEAR(TODAY())=Table135[[#This Row],[year]],0.8,YEAR(TODAY())-Table135[[#This Row],[year]])</f>
        <v>5</v>
      </c>
      <c r="K8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0.786      -5,879</v>
      </c>
      <c r="L88" s="4">
        <f t="array" aca="1" ref="L88" ca="1">EXP(INDEX(LINEST(LN(Table135[Price]),Table135[Age]),1,2))*EXP(INDEX(LINEST(LN(Table135[Price]),Table135[Age]),1,1)*Table135[[#This Row],[Age]])/Table135[[#This Row],[Price]]</f>
        <v>0.83136743512926059</v>
      </c>
      <c r="M88" s="4">
        <f ca="1">Table135[[#This Row],[Column1]]*VALUE(SUBSTITUTE(LEFT(Table135[[#This Row],[normal price/real milage]],3),",",""))</f>
        <v>0.58195720459048239</v>
      </c>
      <c r="N88" s="4"/>
    </row>
    <row r="89" spans="1:14" x14ac:dyDescent="0.25">
      <c r="A89">
        <v>45077</v>
      </c>
      <c r="B89">
        <v>30</v>
      </c>
      <c r="C89">
        <v>34995</v>
      </c>
      <c r="D89">
        <v>2020</v>
      </c>
      <c r="E89" t="s">
        <v>14</v>
      </c>
      <c r="F89" t="s">
        <v>1</v>
      </c>
      <c r="G89">
        <v>55000</v>
      </c>
      <c r="H89" s="2">
        <f>Table135[[#This Row],[Price]]/Table135[[#This Row],[Mileage]]</f>
        <v>0.63627272727272732</v>
      </c>
      <c r="I89" s="3">
        <f ca="1">Table135[[#This Row],[Price]]/Table135[[#This Row],[Age]]</f>
        <v>11665</v>
      </c>
      <c r="J89">
        <f ca="1">IF(YEAR(TODAY())=Table135[[#This Row],[year]],0.8,YEAR(TODAY())-Table135[[#This Row],[year]])</f>
        <v>3</v>
      </c>
      <c r="K8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0.790      -7,362</v>
      </c>
      <c r="L89" s="4">
        <f t="array" aca="1" ref="L89" ca="1">EXP(INDEX(LINEST(LN(Table135[Price]),Table135[Age]),1,2))*EXP(INDEX(LINEST(LN(Table135[Price]),Table135[Age]),1,1)*Table135[[#This Row],[Age]])/Table135[[#This Row],[Price]]</f>
        <v>0.87511450778814481</v>
      </c>
      <c r="M89" s="4">
        <f ca="1">Table135[[#This Row],[Column1]]*VALUE(SUBSTITUTE(LEFT(Table135[[#This Row],[normal price/real milage]],3),",",""))</f>
        <v>0.6125801554517013</v>
      </c>
      <c r="N89" s="4"/>
    </row>
    <row r="90" spans="1:14" x14ac:dyDescent="0.25">
      <c r="A90">
        <v>45077</v>
      </c>
      <c r="B90">
        <v>33</v>
      </c>
      <c r="C90">
        <v>28497</v>
      </c>
      <c r="D90">
        <v>2018</v>
      </c>
      <c r="E90" t="s">
        <v>0</v>
      </c>
      <c r="F90" t="s">
        <v>12</v>
      </c>
      <c r="G90">
        <v>93000</v>
      </c>
      <c r="H90" s="2">
        <f>Table135[[#This Row],[Price]]/Table135[[#This Row],[Mileage]]</f>
        <v>0.30641935483870969</v>
      </c>
      <c r="I90" s="3">
        <f ca="1">Table135[[#This Row],[Price]]/Table135[[#This Row],[Age]]</f>
        <v>5699.4</v>
      </c>
      <c r="J90">
        <f ca="1">IF(YEAR(TODAY())=Table135[[#This Row],[year]],0.8,YEAR(TODAY())-Table135[[#This Row],[year]])</f>
        <v>5</v>
      </c>
      <c r="K9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0.792      -5,941</v>
      </c>
      <c r="L90" s="4">
        <f t="array" aca="1" ref="L90" ca="1">EXP(INDEX(LINEST(LN(Table135[Price]),Table135[Age]),1,2))*EXP(INDEX(LINEST(LN(Table135[Price]),Table135[Age]),1,1)*Table135[[#This Row],[Age]])/Table135[[#This Row],[Price]]</f>
        <v>0.80228109857369778</v>
      </c>
      <c r="M90" s="4">
        <f ca="1">Table135[[#This Row],[Column1]]*VALUE(SUBSTITUTE(LEFT(Table135[[#This Row],[normal price/real milage]],3),",",""))</f>
        <v>0.56159676900158839</v>
      </c>
      <c r="N90" s="4"/>
    </row>
    <row r="91" spans="1:14" x14ac:dyDescent="0.25">
      <c r="A91">
        <v>45077</v>
      </c>
      <c r="B91">
        <v>53</v>
      </c>
      <c r="C91">
        <v>11999</v>
      </c>
      <c r="D91">
        <v>2015</v>
      </c>
      <c r="E91" t="s">
        <v>0</v>
      </c>
      <c r="F91" t="s">
        <v>1</v>
      </c>
      <c r="G91">
        <v>225000</v>
      </c>
      <c r="H91" s="2">
        <f>Table135[[#This Row],[Price]]/Table135[[#This Row],[Mileage]]</f>
        <v>5.3328888888888891E-2</v>
      </c>
      <c r="I91" s="3">
        <f ca="1">Table135[[#This Row],[Price]]/Table135[[#This Row],[Age]]</f>
        <v>1499.875</v>
      </c>
      <c r="J91">
        <f ca="1">IF(YEAR(TODAY())=Table135[[#This Row],[year]],0.8,YEAR(TODAY())-Table135[[#This Row],[year]])</f>
        <v>8</v>
      </c>
      <c r="K9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0.410      -7,079</v>
      </c>
      <c r="L91" s="4">
        <f t="array" aca="1" ref="L91" ca="1">EXP(INDEX(LINEST(LN(Table135[Price]),Table135[Age]),1,2))*EXP(INDEX(LINEST(LN(Table135[Price]),Table135[Age]),1,1)*Table135[[#This Row],[Age]])/Table135[[#This Row],[Price]]</f>
        <v>1.2290311254337116</v>
      </c>
      <c r="M91" s="4">
        <f ca="1">Table135[[#This Row],[Column1]]*VALUE(SUBSTITUTE(LEFT(Table135[[#This Row],[normal price/real milage]],3),",",""))</f>
        <v>0.49161245017348465</v>
      </c>
      <c r="N91" s="4"/>
    </row>
    <row r="92" spans="1:14" x14ac:dyDescent="0.25">
      <c r="A92">
        <v>45077</v>
      </c>
      <c r="B92">
        <v>28</v>
      </c>
      <c r="C92">
        <v>28985</v>
      </c>
      <c r="D92">
        <v>2018</v>
      </c>
      <c r="E92" t="s">
        <v>0</v>
      </c>
      <c r="F92" t="s">
        <v>1</v>
      </c>
      <c r="G92">
        <v>94000</v>
      </c>
      <c r="H92" s="2">
        <f>Table135[[#This Row],[Price]]/Table135[[#This Row],[Mileage]]</f>
        <v>0.30835106382978722</v>
      </c>
      <c r="I92" s="3">
        <f ca="1">Table135[[#This Row],[Price]]/Table135[[#This Row],[Age]]</f>
        <v>5797</v>
      </c>
      <c r="J92">
        <f ca="1">IF(YEAR(TODAY())=Table135[[#This Row],[year]],0.8,YEAR(TODAY())-Table135[[#This Row],[year]])</f>
        <v>5</v>
      </c>
      <c r="K9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0.774      -6,563</v>
      </c>
      <c r="L92" s="4">
        <f t="array" aca="1" ref="L92" ca="1">EXP(INDEX(LINEST(LN(Table135[Price]),Table135[Age]),1,2))*EXP(INDEX(LINEST(LN(Table135[Price]),Table135[Age]),1,1)*Table135[[#This Row],[Age]])/Table135[[#This Row],[Price]]</f>
        <v>0.78877365761789431</v>
      </c>
      <c r="M92" s="4">
        <f ca="1">Table135[[#This Row],[Column1]]*VALUE(SUBSTITUTE(LEFT(Table135[[#This Row],[normal price/real milage]],3),",",""))</f>
        <v>0.55214156033252593</v>
      </c>
      <c r="N92" s="4"/>
    </row>
    <row r="93" spans="1:14" x14ac:dyDescent="0.25">
      <c r="A93">
        <v>45077</v>
      </c>
      <c r="B93">
        <v>8</v>
      </c>
      <c r="C93">
        <v>35500</v>
      </c>
      <c r="D93">
        <v>2019</v>
      </c>
      <c r="E93" t="s">
        <v>0</v>
      </c>
      <c r="F93" t="s">
        <v>8</v>
      </c>
      <c r="G93">
        <v>57000</v>
      </c>
      <c r="H93" s="2">
        <f>Table135[[#This Row],[Price]]/Table135[[#This Row],[Mileage]]</f>
        <v>0.6228070175438597</v>
      </c>
      <c r="I93" s="3">
        <f ca="1">Table135[[#This Row],[Price]]/Table135[[#This Row],[Age]]</f>
        <v>8875</v>
      </c>
      <c r="J93">
        <f ca="1">IF(YEAR(TODAY())=Table135[[#This Row],[year]],0.8,YEAR(TODAY())-Table135[[#This Row],[year]])</f>
        <v>4</v>
      </c>
      <c r="K9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0.771      -8,134</v>
      </c>
      <c r="L93" s="4">
        <f t="array" aca="1" ref="L93" ca="1">EXP(INDEX(LINEST(LN(Table135[Price]),Table135[Age]),1,2))*EXP(INDEX(LINEST(LN(Table135[Price]),Table135[Age]),1,1)*Table135[[#This Row],[Age]])/Table135[[#This Row],[Price]]</f>
        <v>0.74536661910236757</v>
      </c>
      <c r="M93" s="4">
        <f ca="1">Table135[[#This Row],[Column1]]*VALUE(SUBSTITUTE(LEFT(Table135[[#This Row],[normal price/real milage]],3),",",""))</f>
        <v>0.52175663337165723</v>
      </c>
      <c r="N93" s="4"/>
    </row>
    <row r="94" spans="1:14" x14ac:dyDescent="0.25">
      <c r="A94">
        <v>45077</v>
      </c>
      <c r="B94">
        <v>88</v>
      </c>
      <c r="C94">
        <v>19300</v>
      </c>
      <c r="D94">
        <v>2012</v>
      </c>
      <c r="E94" t="s">
        <v>16</v>
      </c>
      <c r="F94" t="s">
        <v>4</v>
      </c>
      <c r="G94">
        <v>175000</v>
      </c>
      <c r="H94" s="2">
        <f>Table135[[#This Row],[Price]]/Table135[[#This Row],[Mileage]]</f>
        <v>0.11028571428571429</v>
      </c>
      <c r="I94" s="3">
        <f ca="1">Table135[[#This Row],[Price]]/Table135[[#This Row],[Age]]</f>
        <v>1754.5454545454545</v>
      </c>
      <c r="J94">
        <f ca="1">IF(YEAR(TODAY())=Table135[[#This Row],[year]],0.8,YEAR(TODAY())-Table135[[#This Row],[year]])</f>
        <v>11</v>
      </c>
      <c r="K9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0.601      -7,700</v>
      </c>
      <c r="L94" s="4">
        <f t="array" aca="1" ref="L94" ca="1">EXP(INDEX(LINEST(LN(Table135[Price]),Table135[Age]),1,2))*EXP(INDEX(LINEST(LN(Table135[Price]),Table135[Age]),1,1)*Table135[[#This Row],[Age]])/Table135[[#This Row],[Price]]</f>
        <v>0.49287053752030741</v>
      </c>
      <c r="M94" s="4">
        <f ca="1">Table135[[#This Row],[Column1]]*VALUE(SUBSTITUTE(LEFT(Table135[[#This Row],[normal price/real milage]],3),",",""))</f>
        <v>0.29572232251218444</v>
      </c>
      <c r="N94" s="4"/>
    </row>
    <row r="95" spans="1:14" x14ac:dyDescent="0.25">
      <c r="A95">
        <v>45077</v>
      </c>
      <c r="B95">
        <v>71</v>
      </c>
      <c r="C95">
        <v>8999</v>
      </c>
      <c r="D95">
        <v>2014</v>
      </c>
      <c r="E95" t="s">
        <v>0</v>
      </c>
      <c r="F95" t="s">
        <v>1</v>
      </c>
      <c r="G95">
        <v>297000</v>
      </c>
      <c r="H95" s="2">
        <f>Table135[[#This Row],[Price]]/Table135[[#This Row],[Mileage]]</f>
        <v>3.0299663299663299E-2</v>
      </c>
      <c r="I95" s="3">
        <f ca="1">Table135[[#This Row],[Price]]/Table135[[#This Row],[Age]]</f>
        <v>999.88888888888891</v>
      </c>
      <c r="J95">
        <f ca="1">IF(YEAR(TODAY())=Table135[[#This Row],[year]],0.8,YEAR(TODAY())-Table135[[#This Row],[year]])</f>
        <v>9</v>
      </c>
      <c r="K9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-0.522      -13,699</v>
      </c>
      <c r="L95" s="4">
        <f t="array" aca="1" ref="L95" ca="1">EXP(INDEX(LINEST(LN(Table135[Price]),Table135[Age]),1,2))*EXP(INDEX(LINEST(LN(Table135[Price]),Table135[Age]),1,1)*Table135[[#This Row],[Age]])/Table135[[#This Row],[Price]]</f>
        <v>1.4159277515143549</v>
      </c>
      <c r="M95" s="4">
        <f ca="1">Table135[[#This Row],[Column1]]*VALUE(SUBSTITUTE(LEFT(Table135[[#This Row],[normal price/real milage]],3),",",""))</f>
        <v>0</v>
      </c>
      <c r="N95" s="4"/>
    </row>
    <row r="96" spans="1:14" x14ac:dyDescent="0.25">
      <c r="A96">
        <v>45078</v>
      </c>
      <c r="B96">
        <v>0</v>
      </c>
      <c r="C96">
        <v>8000</v>
      </c>
      <c r="D96">
        <v>2015</v>
      </c>
      <c r="E96" t="s">
        <v>0</v>
      </c>
      <c r="F96" t="s">
        <v>1</v>
      </c>
      <c r="G96">
        <v>130000</v>
      </c>
      <c r="H96" s="2">
        <f>Table135[[#This Row],[Price]]/Table135[[#This Row],[Mileage]]</f>
        <v>6.1538461538461542E-2</v>
      </c>
      <c r="I96" s="3">
        <f ca="1">Table135[[#This Row],[Price]]/Table135[[#This Row],[Age]]</f>
        <v>1000</v>
      </c>
      <c r="J96">
        <f ca="1">IF(YEAR(TODAY())=Table135[[#This Row],[year]],0.8,YEAR(TODAY())-Table135[[#This Row],[year]])</f>
        <v>8</v>
      </c>
      <c r="K9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2.202      9,612</v>
      </c>
      <c r="L96" s="4">
        <f t="array" aca="1" ref="L96" ca="1">EXP(INDEX(LINEST(LN(Table135[Price]),Table135[Age]),1,2))*EXP(INDEX(LINEST(LN(Table135[Price]),Table135[Age]),1,1)*Table135[[#This Row],[Age]])/Table135[[#This Row],[Price]]</f>
        <v>1.8433930592598882</v>
      </c>
      <c r="M96" s="4">
        <f ca="1">Table135[[#This Row],[Column1]]*VALUE(SUBSTITUTE(LEFT(Table135[[#This Row],[normal price/real milage]],3),",",""))</f>
        <v>4.0554647303717539</v>
      </c>
      <c r="N96" s="4"/>
    </row>
    <row r="97" spans="1:14" x14ac:dyDescent="0.25">
      <c r="A97">
        <v>45078</v>
      </c>
      <c r="B97">
        <v>5</v>
      </c>
      <c r="C97">
        <v>6900</v>
      </c>
      <c r="D97">
        <v>2012</v>
      </c>
      <c r="E97" t="s">
        <v>0</v>
      </c>
      <c r="F97" t="s">
        <v>1</v>
      </c>
      <c r="G97">
        <v>136000</v>
      </c>
      <c r="H97" s="2">
        <f>Table135[[#This Row],[Price]]/Table135[[#This Row],[Mileage]]</f>
        <v>5.0735294117647059E-2</v>
      </c>
      <c r="I97" s="3">
        <f ca="1">Table135[[#This Row],[Price]]/Table135[[#This Row],[Age]]</f>
        <v>627.27272727272725</v>
      </c>
      <c r="J97">
        <f ca="1">IF(YEAR(TODAY())=Table135[[#This Row],[year]],0.8,YEAR(TODAY())-Table135[[#This Row],[year]])</f>
        <v>11</v>
      </c>
      <c r="K9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2.436      9,911</v>
      </c>
      <c r="L97" s="4">
        <f t="array" aca="1" ref="L97" ca="1">EXP(INDEX(LINEST(LN(Table135[Price]),Table135[Age]),1,2))*EXP(INDEX(LINEST(LN(Table135[Price]),Table135[Age]),1,1)*Table135[[#This Row],[Age]])/Table135[[#This Row],[Price]]</f>
        <v>1.3786088948031787</v>
      </c>
      <c r="M97" s="4">
        <f ca="1">Table135[[#This Row],[Column1]]*VALUE(SUBSTITUTE(LEFT(Table135[[#This Row],[normal price/real milage]],3),",",""))</f>
        <v>3.3086613475276287</v>
      </c>
      <c r="N97" s="4"/>
    </row>
    <row r="98" spans="1:14" x14ac:dyDescent="0.25">
      <c r="A98">
        <v>45078</v>
      </c>
      <c r="B98">
        <v>42</v>
      </c>
      <c r="C98">
        <v>6700</v>
      </c>
      <c r="D98">
        <v>2009</v>
      </c>
      <c r="E98" t="s">
        <v>0</v>
      </c>
      <c r="F98" t="s">
        <v>1</v>
      </c>
      <c r="G98">
        <v>194000</v>
      </c>
      <c r="H98" s="2">
        <f>Table135[[#This Row],[Price]]/Table135[[#This Row],[Mileage]]</f>
        <v>3.4536082474226806E-2</v>
      </c>
      <c r="I98" s="3">
        <f ca="1">Table135[[#This Row],[Price]]/Table135[[#This Row],[Age]]</f>
        <v>478.57142857142856</v>
      </c>
      <c r="J98">
        <f ca="1">IF(YEAR(TODAY())=Table135[[#This Row],[year]],0.8,YEAR(TODAY())-Table135[[#This Row],[year]])</f>
        <v>14</v>
      </c>
      <c r="K9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1.352      2,361</v>
      </c>
      <c r="L98" s="4">
        <f t="array" aca="1" ref="L98" ca="1">EXP(INDEX(LINEST(LN(Table135[Price]),Table135[Age]),1,2))*EXP(INDEX(LINEST(LN(Table135[Price]),Table135[Age]),1,1)*Table135[[#This Row],[Age]])/Table135[[#This Row],[Price]]</f>
        <v>0.91579358347880857</v>
      </c>
      <c r="M98" s="4">
        <f ca="1">Table135[[#This Row],[Column1]]*VALUE(SUBSTITUTE(LEFT(Table135[[#This Row],[normal price/real milage]],3),",",""))</f>
        <v>1.1905316585224512</v>
      </c>
      <c r="N98" s="4"/>
    </row>
    <row r="99" spans="1:14" x14ac:dyDescent="0.25">
      <c r="A99">
        <v>45078</v>
      </c>
      <c r="B99">
        <v>33</v>
      </c>
      <c r="C99">
        <v>17593</v>
      </c>
      <c r="D99">
        <v>2015</v>
      </c>
      <c r="E99" t="s">
        <v>0</v>
      </c>
      <c r="F99" t="s">
        <v>9</v>
      </c>
      <c r="G99">
        <v>76000</v>
      </c>
      <c r="H99" s="2">
        <f>Table135[[#This Row],[Price]]/Table135[[#This Row],[Mileage]]</f>
        <v>0.23148684210526316</v>
      </c>
      <c r="I99" s="3">
        <f ca="1">Table135[[#This Row],[Price]]/Table135[[#This Row],[Age]]</f>
        <v>2199.125</v>
      </c>
      <c r="J99">
        <f ca="1">IF(YEAR(TODAY())=Table135[[#This Row],[year]],0.8,YEAR(TODAY())-Table135[[#This Row],[year]])</f>
        <v>8</v>
      </c>
      <c r="K9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1.411      7,234</v>
      </c>
      <c r="L99" s="4">
        <f t="array" aca="1" ref="L99" ca="1">EXP(INDEX(LINEST(LN(Table135[Price]),Table135[Age]),1,2))*EXP(INDEX(LINEST(LN(Table135[Price]),Table135[Age]),1,1)*Table135[[#This Row],[Age]])/Table135[[#This Row],[Price]]</f>
        <v>0.83823932666851053</v>
      </c>
      <c r="M99" s="4">
        <f ca="1">Table135[[#This Row],[Column1]]*VALUE(SUBSTITUTE(LEFT(Table135[[#This Row],[normal price/real milage]],3),",",""))</f>
        <v>1.1735350573359147</v>
      </c>
      <c r="N99" s="4"/>
    </row>
    <row r="100" spans="1:14" x14ac:dyDescent="0.25">
      <c r="A100">
        <v>45078</v>
      </c>
      <c r="B100">
        <v>13</v>
      </c>
      <c r="C100">
        <v>16500</v>
      </c>
      <c r="D100">
        <v>2016</v>
      </c>
      <c r="E100" t="s">
        <v>0</v>
      </c>
      <c r="F100" t="s">
        <v>2</v>
      </c>
      <c r="G100">
        <v>169000</v>
      </c>
      <c r="H100" s="2">
        <f>Table135[[#This Row],[Price]]/Table135[[#This Row],[Mileage]]</f>
        <v>9.7633136094674555E-2</v>
      </c>
      <c r="I100" s="3">
        <f ca="1">Table135[[#This Row],[Price]]/Table135[[#This Row],[Age]]</f>
        <v>2357.1428571428573</v>
      </c>
      <c r="J100">
        <f ca="1">IF(YEAR(TODAY())=Table135[[#This Row],[year]],0.8,YEAR(TODAY())-Table135[[#This Row],[year]])</f>
        <v>7</v>
      </c>
      <c r="K10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0.752      -4,098</v>
      </c>
      <c r="L100" s="4">
        <f t="array" aca="1" ref="L100" ca="1">EXP(INDEX(LINEST(LN(Table135[Price]),Table135[Age]),1,2))*EXP(INDEX(LINEST(LN(Table135[Price]),Table135[Age]),1,1)*Table135[[#This Row],[Age]])/Table135[[#This Row],[Price]]</f>
        <v>1.0344192169209689</v>
      </c>
      <c r="M100" s="4">
        <f ca="1">Table135[[#This Row],[Column1]]*VALUE(SUBSTITUTE(LEFT(Table135[[#This Row],[normal price/real milage]],3),",",""))</f>
        <v>0.72409345184467822</v>
      </c>
      <c r="N100" s="4"/>
    </row>
    <row r="101" spans="1:14" x14ac:dyDescent="0.25">
      <c r="L101" s="4"/>
    </row>
    <row r="102" spans="1:14" x14ac:dyDescent="0.25">
      <c r="L102" s="4"/>
    </row>
    <row r="103" spans="1:14" x14ac:dyDescent="0.25">
      <c r="L103" s="4"/>
    </row>
    <row r="104" spans="1:14" x14ac:dyDescent="0.25">
      <c r="L104" s="4"/>
    </row>
    <row r="105" spans="1:14" x14ac:dyDescent="0.25">
      <c r="L105" s="4"/>
    </row>
    <row r="106" spans="1:14" x14ac:dyDescent="0.25">
      <c r="L106" s="4"/>
    </row>
    <row r="107" spans="1:14" x14ac:dyDescent="0.25">
      <c r="L107" s="4"/>
    </row>
    <row r="108" spans="1:14" x14ac:dyDescent="0.25">
      <c r="L108" s="4"/>
    </row>
    <row r="109" spans="1:14" x14ac:dyDescent="0.25">
      <c r="L109" s="4"/>
    </row>
    <row r="110" spans="1:14" x14ac:dyDescent="0.25">
      <c r="L110" s="4"/>
    </row>
    <row r="111" spans="1:14" x14ac:dyDescent="0.25">
      <c r="L111" s="4"/>
    </row>
    <row r="112" spans="1:14" x14ac:dyDescent="0.25">
      <c r="L112" s="4"/>
    </row>
    <row r="113" spans="12:12" x14ac:dyDescent="0.25">
      <c r="L113" s="4"/>
    </row>
    <row r="114" spans="12:12" x14ac:dyDescent="0.25">
      <c r="L114" s="4"/>
    </row>
    <row r="115" spans="12:12" x14ac:dyDescent="0.25">
      <c r="L115" s="4"/>
    </row>
    <row r="116" spans="12:12" x14ac:dyDescent="0.25">
      <c r="L116" s="4"/>
    </row>
    <row r="117" spans="12:12" x14ac:dyDescent="0.25">
      <c r="L117" s="4"/>
    </row>
    <row r="118" spans="12:12" x14ac:dyDescent="0.25">
      <c r="L118" s="4"/>
    </row>
    <row r="119" spans="12:12" x14ac:dyDescent="0.25">
      <c r="L119" s="4"/>
    </row>
  </sheetData>
  <conditionalFormatting sqref="L2:L100">
    <cfRule type="expression" dxfId="48" priority="2">
      <formula>$L2&lt;1</formula>
    </cfRule>
  </conditionalFormatting>
  <conditionalFormatting sqref="K2:K100">
    <cfRule type="expression" dxfId="47" priority="1">
      <formula>$K2&lt;1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1276-BBAC-4AF0-A399-6023FCE93C35}">
  <sheetPr codeName="Sheet2"/>
  <dimension ref="A1:R119"/>
  <sheetViews>
    <sheetView zoomScale="85" zoomScaleNormal="85" workbookViewId="0"/>
  </sheetViews>
  <sheetFormatPr defaultRowHeight="15" x14ac:dyDescent="0.25"/>
  <cols>
    <col min="1" max="1" width="9.7109375" bestFit="1" customWidth="1"/>
    <col min="2" max="2" width="5.140625" bestFit="1" customWidth="1"/>
    <col min="3" max="3" width="8" bestFit="1" customWidth="1"/>
    <col min="4" max="4" width="7.140625" bestFit="1" customWidth="1"/>
    <col min="5" max="5" width="28.85546875" customWidth="1"/>
    <col min="6" max="6" width="22.5703125" customWidth="1"/>
    <col min="7" max="7" width="10.5703125" bestFit="1" customWidth="1"/>
    <col min="8" max="8" width="15.85546875" customWidth="1"/>
    <col min="9" max="9" width="11.7109375" bestFit="1" customWidth="1"/>
    <col min="10" max="10" width="6.7109375" bestFit="1" customWidth="1"/>
    <col min="11" max="11" width="25" bestFit="1" customWidth="1"/>
    <col min="12" max="14" width="11.7109375" customWidth="1"/>
    <col min="15" max="15" width="12.7109375" bestFit="1" customWidth="1"/>
    <col min="16" max="16" width="9.28515625" bestFit="1" customWidth="1"/>
  </cols>
  <sheetData>
    <row r="1" spans="1:18" x14ac:dyDescent="0.25">
      <c r="A1" t="s">
        <v>27</v>
      </c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32</v>
      </c>
      <c r="J1" t="s">
        <v>31</v>
      </c>
      <c r="K1" t="s">
        <v>48</v>
      </c>
      <c r="L1" t="s">
        <v>25</v>
      </c>
      <c r="M1" t="s">
        <v>49</v>
      </c>
    </row>
    <row r="2" spans="1:18" x14ac:dyDescent="0.25">
      <c r="A2" s="1">
        <v>45077</v>
      </c>
      <c r="B2">
        <v>49</v>
      </c>
      <c r="C2" s="5">
        <v>9999</v>
      </c>
      <c r="D2">
        <v>2017</v>
      </c>
      <c r="E2" t="s">
        <v>33</v>
      </c>
      <c r="F2" t="s">
        <v>9</v>
      </c>
      <c r="G2">
        <v>115000</v>
      </c>
      <c r="H2" s="2">
        <f>Table13[[#This Row],[Price]]/Table13[[#This Row],[Mileage]]</f>
        <v>8.6947826086956517E-2</v>
      </c>
      <c r="I2" s="3">
        <f ca="1">Table13[[#This Row],[Price]]/Table13[[#This Row],[Age]]</f>
        <v>1666.5</v>
      </c>
      <c r="J2">
        <f ca="1">IF(YEAR(TODAY())=Table13[[#This Row],[year]],0.8,YEAR(TODAY())-Table13[[#This Row],[year]])</f>
        <v>6</v>
      </c>
      <c r="K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1.976      9,760</v>
      </c>
      <c r="L2" s="4">
        <f t="array" aca="1" ref="L2" ca="1">EXP(INDEX(LINEST(LN(Table13[Price]),Table13[Age]),1,2))*EXP(INDEX(LINEST(LN(Table13[Price]),Table13[Age]),1,1)*Table13[[#This Row],[Age]])/Table13[[#This Row],[Price]]</f>
        <v>1.8647619324830444</v>
      </c>
      <c r="M2" s="4">
        <f ca="1">Table13[[#This Row],[Column1]]*VALUE(SUBSTITUTE(LEFT(Table13[[#This Row],[normal price/real milage]],3),",",""))</f>
        <v>3.5430476717177841</v>
      </c>
      <c r="N2" s="4"/>
      <c r="O2">
        <f t="array" ref="O2:P2">LINEST(LN(Table13[Price]),Table13[Mileage])</f>
        <v>-6.157845936045818E-6</v>
      </c>
      <c r="P2">
        <v>10.481636644628017</v>
      </c>
      <c r="R2">
        <f>INDEX(LINEST(Table13[Price],Table13[Mileage]),1,1)</f>
        <v>-0.13426910733346661</v>
      </c>
    </row>
    <row r="3" spans="1:18" x14ac:dyDescent="0.25">
      <c r="A3" s="1">
        <v>45077</v>
      </c>
      <c r="B3">
        <v>14</v>
      </c>
      <c r="C3" s="5">
        <v>19800</v>
      </c>
      <c r="D3">
        <v>2022</v>
      </c>
      <c r="E3" t="s">
        <v>33</v>
      </c>
      <c r="F3" t="s">
        <v>38</v>
      </c>
      <c r="G3">
        <v>20000</v>
      </c>
      <c r="H3" s="2">
        <f>Table13[[#This Row],[Price]]/Table13[[#This Row],[Mileage]]</f>
        <v>0.99</v>
      </c>
      <c r="I3" s="3">
        <f ca="1">Table13[[#This Row],[Price]]/Table13[[#This Row],[Age]]</f>
        <v>19800</v>
      </c>
      <c r="J3">
        <f ca="1">IF(YEAR(TODAY())=Table13[[#This Row],[year]],0.8,YEAR(TODAY())-Table13[[#This Row],[year]])</f>
        <v>1</v>
      </c>
      <c r="K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1.642      12,714</v>
      </c>
      <c r="L3" s="4">
        <f t="array" aca="1" ref="L3" ca="1">EXP(INDEX(LINEST(LN(Table13[Price]),Table13[Age]),1,2))*EXP(INDEX(LINEST(LN(Table13[Price]),Table13[Age]),1,1)*Table13[[#This Row],[Age]])/Table13[[#This Row],[Price]]</f>
        <v>1.8548007190968323</v>
      </c>
      <c r="M3" s="4">
        <f ca="1">Table13[[#This Row],[Column1]]*VALUE(SUBSTITUTE(LEFT(Table13[[#This Row],[normal price/real milage]],3),",",""))</f>
        <v>2.9676811505549319</v>
      </c>
      <c r="N3" s="4"/>
    </row>
    <row r="4" spans="1:18" x14ac:dyDescent="0.25">
      <c r="A4" s="1">
        <v>45077</v>
      </c>
      <c r="B4">
        <v>29</v>
      </c>
      <c r="C4" s="5">
        <v>9500</v>
      </c>
      <c r="D4">
        <v>2012</v>
      </c>
      <c r="E4" t="s">
        <v>41</v>
      </c>
      <c r="F4" t="s">
        <v>1</v>
      </c>
      <c r="G4">
        <v>75000</v>
      </c>
      <c r="H4" s="2">
        <f>Table13[[#This Row],[Price]]/Table13[[#This Row],[Mileage]]</f>
        <v>0.12666666666666668</v>
      </c>
      <c r="I4" s="3">
        <f ca="1">Table13[[#This Row],[Price]]/Table13[[#This Row],[Age]]</f>
        <v>863.63636363636363</v>
      </c>
      <c r="J4">
        <f ca="1">IF(YEAR(TODAY())=Table13[[#This Row],[year]],0.8,YEAR(TODAY())-Table13[[#This Row],[year]])</f>
        <v>11</v>
      </c>
      <c r="K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2.645      15,630</v>
      </c>
      <c r="L4" s="4">
        <f t="array" aca="1" ref="L4" ca="1">EXP(INDEX(LINEST(LN(Table13[Price]),Table13[Age]),1,2))*EXP(INDEX(LINEST(LN(Table13[Price]),Table13[Age]),1,1)*Table13[[#This Row],[Age]])/Table13[[#This Row],[Price]]</f>
        <v>0.99649213504406398</v>
      </c>
      <c r="M4" s="4">
        <f ca="1">Table13[[#This Row],[Column1]]*VALUE(SUBSTITUTE(LEFT(Table13[[#This Row],[normal price/real milage]],3),",",""))</f>
        <v>2.5908795511145666</v>
      </c>
      <c r="N4" s="4"/>
    </row>
    <row r="5" spans="1:18" x14ac:dyDescent="0.25">
      <c r="A5" s="1">
        <v>45077</v>
      </c>
      <c r="B5">
        <v>4</v>
      </c>
      <c r="C5" s="5">
        <v>12400</v>
      </c>
      <c r="D5">
        <v>2017</v>
      </c>
      <c r="E5" t="s">
        <v>33</v>
      </c>
      <c r="F5" t="s">
        <v>9</v>
      </c>
      <c r="G5">
        <v>100000</v>
      </c>
      <c r="H5" s="2">
        <f>Table13[[#This Row],[Price]]/Table13[[#This Row],[Mileage]]</f>
        <v>0.124</v>
      </c>
      <c r="I5" s="3">
        <f ca="1">Table13[[#This Row],[Price]]/Table13[[#This Row],[Age]]</f>
        <v>2066.6666666666665</v>
      </c>
      <c r="J5">
        <f ca="1">IF(YEAR(TODAY())=Table13[[#This Row],[year]],0.8,YEAR(TODAY())-Table13[[#This Row],[year]])</f>
        <v>6</v>
      </c>
      <c r="K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1.756      9,373</v>
      </c>
      <c r="L5" s="4">
        <f t="array" aca="1" ref="L5" ca="1">EXP(INDEX(LINEST(LN(Table13[Price]),Table13[Age]),1,2))*EXP(INDEX(LINEST(LN(Table13[Price]),Table13[Age]),1,1)*Table13[[#This Row],[Age]])/Table13[[#This Row],[Price]]</f>
        <v>1.5036898841046742</v>
      </c>
      <c r="M5" s="4">
        <f ca="1">Table13[[#This Row],[Column1]]*VALUE(SUBSTITUTE(LEFT(Table13[[#This Row],[normal price/real milage]],3),",",""))</f>
        <v>2.5562728029779462</v>
      </c>
      <c r="N5" s="4"/>
    </row>
    <row r="6" spans="1:18" x14ac:dyDescent="0.25">
      <c r="A6" s="1">
        <v>45077</v>
      </c>
      <c r="B6">
        <v>19</v>
      </c>
      <c r="C6" s="5">
        <v>12400</v>
      </c>
      <c r="D6">
        <v>2017</v>
      </c>
      <c r="E6" t="s">
        <v>33</v>
      </c>
      <c r="F6" t="s">
        <v>9</v>
      </c>
      <c r="G6">
        <v>120000</v>
      </c>
      <c r="H6" s="2">
        <f>Table13[[#This Row],[Price]]/Table13[[#This Row],[Mileage]]</f>
        <v>0.10333333333333333</v>
      </c>
      <c r="I6" s="3">
        <f ca="1">Table13[[#This Row],[Price]]/Table13[[#This Row],[Age]]</f>
        <v>2066.6666666666665</v>
      </c>
      <c r="J6">
        <f ca="1">IF(YEAR(TODAY())=Table13[[#This Row],[year]],0.8,YEAR(TODAY())-Table13[[#This Row],[year]])</f>
        <v>6</v>
      </c>
      <c r="K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1.539      6,687</v>
      </c>
      <c r="L6" s="4">
        <f t="array" aca="1" ref="L6" ca="1">EXP(INDEX(LINEST(LN(Table13[Price]),Table13[Age]),1,2))*EXP(INDEX(LINEST(LN(Table13[Price]),Table13[Age]),1,1)*Table13[[#This Row],[Age]])/Table13[[#This Row],[Price]]</f>
        <v>1.5036898841046742</v>
      </c>
      <c r="M6" s="4">
        <f ca="1">Table13[[#This Row],[Column1]]*VALUE(SUBSTITUTE(LEFT(Table13[[#This Row],[normal price/real milage]],3),",",""))</f>
        <v>2.2555348261570112</v>
      </c>
      <c r="N6" s="4"/>
    </row>
    <row r="7" spans="1:18" x14ac:dyDescent="0.25">
      <c r="A7" s="1">
        <v>45077</v>
      </c>
      <c r="B7">
        <v>2</v>
      </c>
      <c r="C7" s="5">
        <v>23900</v>
      </c>
      <c r="D7">
        <v>2022</v>
      </c>
      <c r="E7" t="s">
        <v>34</v>
      </c>
      <c r="F7" t="s">
        <v>1</v>
      </c>
      <c r="G7">
        <v>3000</v>
      </c>
      <c r="H7" s="4">
        <f>Table13[[#This Row],[Price]]/Table13[[#This Row],[Mileage]]</f>
        <v>7.9666666666666668</v>
      </c>
      <c r="I7" s="3">
        <f ca="1">Table13[[#This Row],[Price]]/Table13[[#This Row],[Age]]</f>
        <v>23900</v>
      </c>
      <c r="J7">
        <f ca="1">IF(YEAR(TODAY())=Table13[[#This Row],[year]],0.8,YEAR(TODAY())-Table13[[#This Row],[year]])</f>
        <v>1</v>
      </c>
      <c r="K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1.456      10,897</v>
      </c>
      <c r="L7" s="4">
        <f t="array" aca="1" ref="L7" ca="1">EXP(INDEX(LINEST(LN(Table13[Price]),Table13[Age]),1,2))*EXP(INDEX(LINEST(LN(Table13[Price]),Table13[Age]),1,1)*Table13[[#This Row],[Age]])/Table13[[#This Row],[Price]]</f>
        <v>1.5366131480383798</v>
      </c>
      <c r="M7" s="4">
        <f ca="1">Table13[[#This Row],[Column1]]*VALUE(SUBSTITUTE(LEFT(Table13[[#This Row],[normal price/real milage]],3),",",""))</f>
        <v>2.1512584072537315</v>
      </c>
      <c r="N7" s="4"/>
    </row>
    <row r="8" spans="1:18" x14ac:dyDescent="0.25">
      <c r="A8" s="1">
        <v>45077</v>
      </c>
      <c r="B8">
        <v>68</v>
      </c>
      <c r="C8" s="5">
        <v>5750</v>
      </c>
      <c r="D8">
        <v>2011</v>
      </c>
      <c r="E8" t="s">
        <v>33</v>
      </c>
      <c r="F8" t="s">
        <v>9</v>
      </c>
      <c r="G8">
        <v>198000</v>
      </c>
      <c r="H8" s="2">
        <f>Table13[[#This Row],[Price]]/Table13[[#This Row],[Mileage]]</f>
        <v>2.904040404040404E-2</v>
      </c>
      <c r="I8" s="3">
        <f ca="1">Table13[[#This Row],[Price]]/Table13[[#This Row],[Age]]</f>
        <v>479.16666666666669</v>
      </c>
      <c r="J8">
        <f ca="1">IF(YEAR(TODAY())=Table13[[#This Row],[year]],0.8,YEAR(TODAY())-Table13[[#This Row],[year]])</f>
        <v>12</v>
      </c>
      <c r="K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1.498      2,864</v>
      </c>
      <c r="L8" s="4">
        <f t="array" aca="1" ref="L8" ca="1">EXP(INDEX(LINEST(LN(Table13[Price]),Table13[Age]),1,2))*EXP(INDEX(LINEST(LN(Table13[Price]),Table13[Age]),1,1)*Table13[[#This Row],[Age]])/Table13[[#This Row],[Price]]</f>
        <v>1.4376499030431331</v>
      </c>
      <c r="M8" s="4">
        <f ca="1">Table13[[#This Row],[Column1]]*VALUE(SUBSTITUTE(LEFT(Table13[[#This Row],[normal price/real milage]],3),",",""))</f>
        <v>2.0127098642603864</v>
      </c>
      <c r="N8" s="4"/>
    </row>
    <row r="9" spans="1:18" x14ac:dyDescent="0.25">
      <c r="A9" s="1">
        <v>45077</v>
      </c>
      <c r="B9">
        <v>6</v>
      </c>
      <c r="C9" s="5">
        <v>12500</v>
      </c>
      <c r="D9">
        <v>2015</v>
      </c>
      <c r="E9" t="s">
        <v>33</v>
      </c>
      <c r="F9" t="s">
        <v>35</v>
      </c>
      <c r="G9">
        <v>97000</v>
      </c>
      <c r="H9" s="2">
        <f>Table13[[#This Row],[Price]]/Table13[[#This Row],[Mileage]]</f>
        <v>0.12886597938144329</v>
      </c>
      <c r="I9" s="3">
        <f ca="1">Table13[[#This Row],[Price]]/Table13[[#This Row],[Age]]</f>
        <v>1562.5</v>
      </c>
      <c r="J9">
        <f ca="1">IF(YEAR(TODAY())=Table13[[#This Row],[year]],0.8,YEAR(TODAY())-Table13[[#This Row],[year]])</f>
        <v>8</v>
      </c>
      <c r="K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1.774      9,676</v>
      </c>
      <c r="L9" s="4">
        <f t="array" aca="1" ref="L9" ca="1">EXP(INDEX(LINEST(LN(Table13[Price]),Table13[Age]),1,2))*EXP(INDEX(LINEST(LN(Table13[Price]),Table13[Age]),1,1)*Table13[[#This Row],[Age]])/Table13[[#This Row],[Price]]</f>
        <v>1.1374097772992204</v>
      </c>
      <c r="M9" s="4">
        <f ca="1">Table13[[#This Row],[Column1]]*VALUE(SUBSTITUTE(LEFT(Table13[[#This Row],[normal price/real milage]],3),",",""))</f>
        <v>1.9335966214086746</v>
      </c>
      <c r="N9" s="4"/>
    </row>
    <row r="10" spans="1:18" x14ac:dyDescent="0.25">
      <c r="A10" s="1">
        <v>45077</v>
      </c>
      <c r="B10">
        <v>8</v>
      </c>
      <c r="C10" s="5">
        <v>15999</v>
      </c>
      <c r="D10">
        <v>2015</v>
      </c>
      <c r="E10" t="s">
        <v>33</v>
      </c>
      <c r="F10" t="s">
        <v>1</v>
      </c>
      <c r="G10">
        <v>46000</v>
      </c>
      <c r="H10" s="2">
        <f>Table13[[#This Row],[Price]]/Table13[[#This Row],[Mileage]]</f>
        <v>0.34780434782608693</v>
      </c>
      <c r="I10" s="3">
        <f ca="1">Table13[[#This Row],[Price]]/Table13[[#This Row],[Age]]</f>
        <v>1999.875</v>
      </c>
      <c r="J10">
        <f ca="1">IF(YEAR(TODAY())=Table13[[#This Row],[year]],0.8,YEAR(TODAY())-Table13[[#This Row],[year]])</f>
        <v>8</v>
      </c>
      <c r="K1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1.814      13,024</v>
      </c>
      <c r="L10" s="4">
        <f t="array" aca="1" ref="L10" ca="1">EXP(INDEX(LINEST(LN(Table13[Price]),Table13[Age]),1,2))*EXP(INDEX(LINEST(LN(Table13[Price]),Table13[Age]),1,1)*Table13[[#This Row],[Age]])/Table13[[#This Row],[Price]]</f>
        <v>0.88865692957311426</v>
      </c>
      <c r="M10" s="4">
        <f ca="1">Table13[[#This Row],[Column1]]*VALUE(SUBSTITUTE(LEFT(Table13[[#This Row],[normal price/real milage]],3),",",""))</f>
        <v>1.5995824732316057</v>
      </c>
      <c r="N10" s="4"/>
    </row>
    <row r="11" spans="1:18" x14ac:dyDescent="0.25">
      <c r="A11" s="1">
        <v>45077</v>
      </c>
      <c r="B11">
        <v>54</v>
      </c>
      <c r="C11" s="5">
        <v>8999</v>
      </c>
      <c r="D11">
        <v>2012</v>
      </c>
      <c r="E11" t="s">
        <v>33</v>
      </c>
      <c r="F11" t="s">
        <v>1</v>
      </c>
      <c r="G11">
        <v>160000</v>
      </c>
      <c r="H11" s="2">
        <f>Table13[[#This Row],[Price]]/Table13[[#This Row],[Mileage]]</f>
        <v>5.6243750000000002E-2</v>
      </c>
      <c r="I11" s="3">
        <f ca="1">Table13[[#This Row],[Price]]/Table13[[#This Row],[Age]]</f>
        <v>818.09090909090912</v>
      </c>
      <c r="J11">
        <f ca="1">IF(YEAR(TODAY())=Table13[[#This Row],[year]],0.8,YEAR(TODAY())-Table13[[#This Row],[year]])</f>
        <v>11</v>
      </c>
      <c r="K1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1.524      4,718</v>
      </c>
      <c r="L11" s="4">
        <f t="array" aca="1" ref="L11" ca="1">EXP(INDEX(LINEST(LN(Table13[Price]),Table13[Age]),1,2))*EXP(INDEX(LINEST(LN(Table13[Price]),Table13[Age]),1,1)*Table13[[#This Row],[Age]])/Table13[[#This Row],[Price]]</f>
        <v>1.0519696947348158</v>
      </c>
      <c r="M11" s="4">
        <f ca="1">Table13[[#This Row],[Column1]]*VALUE(SUBSTITUTE(LEFT(Table13[[#This Row],[normal price/real milage]],3),",",""))</f>
        <v>1.5779545421022236</v>
      </c>
      <c r="N11" s="4"/>
    </row>
    <row r="12" spans="1:18" x14ac:dyDescent="0.25">
      <c r="A12" s="1">
        <v>45077</v>
      </c>
      <c r="B12">
        <v>77</v>
      </c>
      <c r="C12" s="5">
        <v>8990</v>
      </c>
      <c r="D12">
        <v>2013</v>
      </c>
      <c r="E12" t="s">
        <v>33</v>
      </c>
      <c r="F12" t="s">
        <v>59</v>
      </c>
      <c r="G12">
        <v>174000</v>
      </c>
      <c r="H12" s="4">
        <f>Table13[[#This Row],[Price]]/Table13[[#This Row],[Mileage]]</f>
        <v>5.1666666666666666E-2</v>
      </c>
      <c r="I12" s="3">
        <f ca="1">Table13[[#This Row],[Price]]/Table13[[#This Row],[Age]]</f>
        <v>899</v>
      </c>
      <c r="J12">
        <f ca="1">IF(YEAR(TODAY())=Table13[[#This Row],[year]],0.8,YEAR(TODAY())-Table13[[#This Row],[year]])</f>
        <v>10</v>
      </c>
      <c r="K1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1.317      2,847</v>
      </c>
      <c r="L12" s="4">
        <f t="array" aca="1" ref="L12" ca="1">EXP(INDEX(LINEST(LN(Table13[Price]),Table13[Age]),1,2))*EXP(INDEX(LINEST(LN(Table13[Price]),Table13[Age]),1,1)*Table13[[#This Row],[Age]])/Table13[[#This Row],[Price]]</f>
        <v>1.2059083029896815</v>
      </c>
      <c r="M12" s="4">
        <f ca="1">Table13[[#This Row],[Column1]]*VALUE(SUBSTITUTE(LEFT(Table13[[#This Row],[normal price/real milage]],3),",",""))</f>
        <v>1.567680793886586</v>
      </c>
      <c r="N12" s="4"/>
    </row>
    <row r="13" spans="1:18" x14ac:dyDescent="0.25">
      <c r="A13" s="1">
        <v>45077</v>
      </c>
      <c r="B13">
        <v>26</v>
      </c>
      <c r="C13" s="5">
        <v>15995</v>
      </c>
      <c r="D13">
        <v>2015</v>
      </c>
      <c r="E13" t="s">
        <v>33</v>
      </c>
      <c r="F13" t="s">
        <v>1</v>
      </c>
      <c r="G13">
        <v>59000</v>
      </c>
      <c r="H13" s="2">
        <f>Table13[[#This Row],[Price]]/Table13[[#This Row],[Mileage]]</f>
        <v>0.27110169491525421</v>
      </c>
      <c r="I13" s="3">
        <f ca="1">Table13[[#This Row],[Price]]/Table13[[#This Row],[Age]]</f>
        <v>1999.375</v>
      </c>
      <c r="J13">
        <f ca="1">IF(YEAR(TODAY())=Table13[[#This Row],[year]],0.8,YEAR(TODAY())-Table13[[#This Row],[year]])</f>
        <v>8</v>
      </c>
      <c r="K1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1.705      11,283</v>
      </c>
      <c r="L13" s="4">
        <f t="array" aca="1" ref="L13" ca="1">EXP(INDEX(LINEST(LN(Table13[Price]),Table13[Age]),1,2))*EXP(INDEX(LINEST(LN(Table13[Price]),Table13[Age]),1,1)*Table13[[#This Row],[Age]])/Table13[[#This Row],[Price]]</f>
        <v>0.88887916325353267</v>
      </c>
      <c r="M13" s="4">
        <f ca="1">Table13[[#This Row],[Column1]]*VALUE(SUBSTITUTE(LEFT(Table13[[#This Row],[normal price/real milage]],3),",",""))</f>
        <v>1.5110945775310054</v>
      </c>
      <c r="N13" s="4"/>
    </row>
    <row r="14" spans="1:18" x14ac:dyDescent="0.25">
      <c r="A14" s="1">
        <v>45077</v>
      </c>
      <c r="B14">
        <v>92</v>
      </c>
      <c r="C14" s="5">
        <v>10999</v>
      </c>
      <c r="D14">
        <v>2011</v>
      </c>
      <c r="E14" t="s">
        <v>33</v>
      </c>
      <c r="F14" t="s">
        <v>3</v>
      </c>
      <c r="G14">
        <v>96000</v>
      </c>
      <c r="H14" s="2">
        <f>Table13[[#This Row],[Price]]/Table13[[#This Row],[Mileage]]</f>
        <v>0.11457291666666666</v>
      </c>
      <c r="I14" s="3">
        <f ca="1">Table13[[#This Row],[Price]]/Table13[[#This Row],[Age]]</f>
        <v>916.58333333333337</v>
      </c>
      <c r="J14">
        <f ca="1">IF(YEAR(TODAY())=Table13[[#This Row],[year]],0.8,YEAR(TODAY())-Table13[[#This Row],[year]])</f>
        <v>12</v>
      </c>
      <c r="K1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2.028      11,311</v>
      </c>
      <c r="L14" s="4">
        <f t="array" aca="1" ref="L14" ca="1">EXP(INDEX(LINEST(LN(Table13[Price]),Table13[Age]),1,2))*EXP(INDEX(LINEST(LN(Table13[Price]),Table13[Age]),1,1)*Table13[[#This Row],[Age]])/Table13[[#This Row],[Price]]</f>
        <v>0.75156713723956858</v>
      </c>
      <c r="M14" s="4">
        <f ca="1">Table13[[#This Row],[Column1]]*VALUE(SUBSTITUTE(LEFT(Table13[[#This Row],[normal price/real milage]],3),",",""))</f>
        <v>1.5031342744791372</v>
      </c>
      <c r="N14" s="4"/>
    </row>
    <row r="15" spans="1:18" x14ac:dyDescent="0.25">
      <c r="A15" s="1">
        <v>45077</v>
      </c>
      <c r="B15">
        <v>83</v>
      </c>
      <c r="C15" s="5">
        <v>11999</v>
      </c>
      <c r="D15">
        <v>2013</v>
      </c>
      <c r="E15" t="s">
        <v>33</v>
      </c>
      <c r="F15" t="s">
        <v>1</v>
      </c>
      <c r="G15">
        <v>113000</v>
      </c>
      <c r="H15" s="2">
        <f>Table13[[#This Row],[Price]]/Table13[[#This Row],[Mileage]]</f>
        <v>0.10618584070796461</v>
      </c>
      <c r="I15" s="3">
        <f ca="1">Table13[[#This Row],[Price]]/Table13[[#This Row],[Age]]</f>
        <v>1199.9000000000001</v>
      </c>
      <c r="J15">
        <f ca="1">IF(YEAR(TODAY())=Table13[[#This Row],[year]],0.8,YEAR(TODAY())-Table13[[#This Row],[year]])</f>
        <v>10</v>
      </c>
      <c r="K1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1.669      8,028</v>
      </c>
      <c r="L15" s="4">
        <f t="array" aca="1" ref="L15" ca="1">EXP(INDEX(LINEST(LN(Table13[Price]),Table13[Age]),1,2))*EXP(INDEX(LINEST(LN(Table13[Price]),Table13[Age]),1,1)*Table13[[#This Row],[Age]])/Table13[[#This Row],[Price]]</f>
        <v>0.90350159545605779</v>
      </c>
      <c r="M15" s="4">
        <f ca="1">Table13[[#This Row],[Column1]]*VALUE(SUBSTITUTE(LEFT(Table13[[#This Row],[normal price/real milage]],3),",",""))</f>
        <v>1.4456025527296925</v>
      </c>
      <c r="N15" s="4"/>
    </row>
    <row r="16" spans="1:18" x14ac:dyDescent="0.25">
      <c r="A16" s="1">
        <v>45077</v>
      </c>
      <c r="B16">
        <v>13</v>
      </c>
      <c r="C16" s="5">
        <v>11950</v>
      </c>
      <c r="D16">
        <v>2015</v>
      </c>
      <c r="E16" t="s">
        <v>33</v>
      </c>
      <c r="F16" t="s">
        <v>1</v>
      </c>
      <c r="G16">
        <v>151000</v>
      </c>
      <c r="H16" s="4">
        <f>Table13[[#This Row],[Price]]/Table13[[#This Row],[Mileage]]</f>
        <v>7.9139072847682124E-2</v>
      </c>
      <c r="I16" s="3">
        <f ca="1">Table13[[#This Row],[Price]]/Table13[[#This Row],[Age]]</f>
        <v>1493.75</v>
      </c>
      <c r="J16">
        <f ca="1">IF(YEAR(TODAY())=Table13[[#This Row],[year]],0.8,YEAR(TODAY())-Table13[[#This Row],[year]])</f>
        <v>8</v>
      </c>
      <c r="K1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1.249      2,975</v>
      </c>
      <c r="L16" s="4">
        <f t="array" aca="1" ref="L16" ca="1">EXP(INDEX(LINEST(LN(Table13[Price]),Table13[Age]),1,2))*EXP(INDEX(LINEST(LN(Table13[Price]),Table13[Age]),1,1)*Table13[[#This Row],[Age]])/Table13[[#This Row],[Price]]</f>
        <v>1.1897591812753352</v>
      </c>
      <c r="M16" s="4">
        <f ca="1">Table13[[#This Row],[Column1]]*VALUE(SUBSTITUTE(LEFT(Table13[[#This Row],[normal price/real milage]],3),",",""))</f>
        <v>1.4277110175304022</v>
      </c>
      <c r="N16" s="4"/>
    </row>
    <row r="17" spans="1:14" x14ac:dyDescent="0.25">
      <c r="A17" s="1">
        <v>45077</v>
      </c>
      <c r="B17">
        <v>17</v>
      </c>
      <c r="C17" s="5">
        <v>17495</v>
      </c>
      <c r="D17">
        <v>2017</v>
      </c>
      <c r="E17" t="s">
        <v>33</v>
      </c>
      <c r="F17" t="s">
        <v>1</v>
      </c>
      <c r="G17">
        <v>85000</v>
      </c>
      <c r="H17" s="4">
        <f>Table13[[#This Row],[Price]]/Table13[[#This Row],[Mileage]]</f>
        <v>0.20582352941176471</v>
      </c>
      <c r="I17" s="3">
        <f ca="1">Table13[[#This Row],[Price]]/Table13[[#This Row],[Age]]</f>
        <v>2915.8333333333335</v>
      </c>
      <c r="J17">
        <f ca="1">IF(YEAR(TODAY())=Table13[[#This Row],[year]],0.8,YEAR(TODAY())-Table13[[#This Row],[year]])</f>
        <v>6</v>
      </c>
      <c r="K1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1.360      6,292</v>
      </c>
      <c r="L17" s="4">
        <f t="array" aca="1" ref="L17" ca="1">EXP(INDEX(LINEST(LN(Table13[Price]),Table13[Age]),1,2))*EXP(INDEX(LINEST(LN(Table13[Price]),Table13[Age]),1,1)*Table13[[#This Row],[Age]])/Table13[[#This Row],[Price]]</f>
        <v>1.0657761967932529</v>
      </c>
      <c r="M17" s="4">
        <f ca="1">Table13[[#This Row],[Column1]]*VALUE(SUBSTITUTE(LEFT(Table13[[#This Row],[normal price/real milage]],3),",",""))</f>
        <v>1.3855090558312289</v>
      </c>
      <c r="N17" s="4"/>
    </row>
    <row r="18" spans="1:14" x14ac:dyDescent="0.25">
      <c r="A18" s="1">
        <v>45077</v>
      </c>
      <c r="B18">
        <v>93</v>
      </c>
      <c r="C18" s="5">
        <v>13495</v>
      </c>
      <c r="D18">
        <v>2014</v>
      </c>
      <c r="E18" t="s">
        <v>33</v>
      </c>
      <c r="F18" t="s">
        <v>9</v>
      </c>
      <c r="G18">
        <v>110000</v>
      </c>
      <c r="H18" s="2">
        <f>Table13[[#This Row],[Price]]/Table13[[#This Row],[Mileage]]</f>
        <v>0.12268181818181818</v>
      </c>
      <c r="I18" s="3">
        <f ca="1">Table13[[#This Row],[Price]]/Table13[[#This Row],[Age]]</f>
        <v>1499.4444444444443</v>
      </c>
      <c r="J18">
        <f ca="1">IF(YEAR(TODAY())=Table13[[#This Row],[year]],0.8,YEAR(TODAY())-Table13[[#This Row],[year]])</f>
        <v>9</v>
      </c>
      <c r="K1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1.514      6,935</v>
      </c>
      <c r="L18" s="4">
        <f t="array" aca="1" ref="L18" ca="1">EXP(INDEX(LINEST(LN(Table13[Price]),Table13[Age]),1,2))*EXP(INDEX(LINEST(LN(Table13[Price]),Table13[Age]),1,1)*Table13[[#This Row],[Age]])/Table13[[#This Row],[Price]]</f>
        <v>0.9199783025969055</v>
      </c>
      <c r="M18" s="4">
        <f ca="1">Table13[[#This Row],[Column1]]*VALUE(SUBSTITUTE(LEFT(Table13[[#This Row],[normal price/real milage]],3),",",""))</f>
        <v>1.3799674538953584</v>
      </c>
      <c r="N18" s="4"/>
    </row>
    <row r="19" spans="1:14" x14ac:dyDescent="0.25">
      <c r="A19" s="1">
        <v>45077</v>
      </c>
      <c r="B19">
        <v>41</v>
      </c>
      <c r="C19" s="5">
        <v>25494</v>
      </c>
      <c r="D19">
        <v>2020</v>
      </c>
      <c r="E19" t="s">
        <v>33</v>
      </c>
      <c r="F19" t="s">
        <v>12</v>
      </c>
      <c r="G19">
        <v>31000</v>
      </c>
      <c r="H19" s="4">
        <f>Table13[[#This Row],[Price]]/Table13[[#This Row],[Mileage]]</f>
        <v>0.82238709677419353</v>
      </c>
      <c r="I19" s="3">
        <f ca="1">Table13[[#This Row],[Price]]/Table13[[#This Row],[Age]]</f>
        <v>8498</v>
      </c>
      <c r="J19">
        <f ca="1">IF(YEAR(TODAY())=Table13[[#This Row],[year]],0.8,YEAR(TODAY())-Table13[[#This Row],[year]])</f>
        <v>3</v>
      </c>
      <c r="K1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1.217      5,543</v>
      </c>
      <c r="L19" s="4">
        <f t="array" aca="1" ref="L19" ca="1">EXP(INDEX(LINEST(LN(Table13[Price]),Table13[Age]),1,2))*EXP(INDEX(LINEST(LN(Table13[Price]),Table13[Age]),1,1)*Table13[[#This Row],[Age]])/Table13[[#This Row],[Price]]</f>
        <v>1.0984276873282524</v>
      </c>
      <c r="M19" s="4">
        <f ca="1">Table13[[#This Row],[Column1]]*VALUE(SUBSTITUTE(LEFT(Table13[[#This Row],[normal price/real milage]],3),",",""))</f>
        <v>1.3181132247939027</v>
      </c>
      <c r="N19" s="4"/>
    </row>
    <row r="20" spans="1:14" x14ac:dyDescent="0.25">
      <c r="A20" s="1">
        <v>45077</v>
      </c>
      <c r="B20">
        <v>27</v>
      </c>
      <c r="C20" s="5">
        <v>12995</v>
      </c>
      <c r="D20">
        <v>2015</v>
      </c>
      <c r="E20" t="s">
        <v>33</v>
      </c>
      <c r="F20" t="s">
        <v>1</v>
      </c>
      <c r="G20">
        <v>140000</v>
      </c>
      <c r="H20" s="4">
        <f>Table13[[#This Row],[Price]]/Table13[[#This Row],[Mileage]]</f>
        <v>9.2821428571428569E-2</v>
      </c>
      <c r="I20" s="3">
        <f ca="1">Table13[[#This Row],[Price]]/Table13[[#This Row],[Age]]</f>
        <v>1624.375</v>
      </c>
      <c r="J20">
        <f ca="1">IF(YEAR(TODAY())=Table13[[#This Row],[year]],0.8,YEAR(TODAY())-Table13[[#This Row],[year]])</f>
        <v>8</v>
      </c>
      <c r="K2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1.262      3,407</v>
      </c>
      <c r="L20" s="4">
        <f t="array" aca="1" ref="L20" ca="1">EXP(INDEX(LINEST(LN(Table13[Price]),Table13[Age]),1,2))*EXP(INDEX(LINEST(LN(Table13[Price]),Table13[Age]),1,1)*Table13[[#This Row],[Age]])/Table13[[#This Row],[Price]]</f>
        <v>1.0940840489603891</v>
      </c>
      <c r="M20" s="4">
        <f ca="1">Table13[[#This Row],[Column1]]*VALUE(SUBSTITUTE(LEFT(Table13[[#This Row],[normal price/real milage]],3),",",""))</f>
        <v>1.3129008587524669</v>
      </c>
      <c r="N20" s="4"/>
    </row>
    <row r="21" spans="1:14" x14ac:dyDescent="0.25">
      <c r="A21" s="1">
        <v>45077</v>
      </c>
      <c r="B21">
        <v>15</v>
      </c>
      <c r="C21" s="5">
        <v>10995</v>
      </c>
      <c r="D21">
        <v>2015</v>
      </c>
      <c r="E21" t="s">
        <v>33</v>
      </c>
      <c r="F21" t="s">
        <v>1</v>
      </c>
      <c r="G21">
        <v>173000</v>
      </c>
      <c r="H21" s="4">
        <f>Table13[[#This Row],[Price]]/Table13[[#This Row],[Mileage]]</f>
        <v>6.3554913294797691E-2</v>
      </c>
      <c r="I21" s="3">
        <f ca="1">Table13[[#This Row],[Price]]/Table13[[#This Row],[Age]]</f>
        <v>1374.375</v>
      </c>
      <c r="J21">
        <f ca="1">IF(YEAR(TODAY())=Table13[[#This Row],[year]],0.8,YEAR(TODAY())-Table13[[#This Row],[year]])</f>
        <v>8</v>
      </c>
      <c r="K2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1.089      976</v>
      </c>
      <c r="L21" s="4">
        <f t="array" aca="1" ref="L21" ca="1">EXP(INDEX(LINEST(LN(Table13[Price]),Table13[Age]),1,2))*EXP(INDEX(LINEST(LN(Table13[Price]),Table13[Age]),1,1)*Table13[[#This Row],[Age]])/Table13[[#This Row],[Price]]</f>
        <v>1.2930988827867445</v>
      </c>
      <c r="M21" s="4">
        <f ca="1">Table13[[#This Row],[Column1]]*VALUE(SUBSTITUTE(LEFT(Table13[[#This Row],[normal price/real milage]],3),",",""))</f>
        <v>1.2930988827867445</v>
      </c>
      <c r="N21" s="4"/>
    </row>
    <row r="22" spans="1:14" x14ac:dyDescent="0.25">
      <c r="A22" s="1">
        <v>45077</v>
      </c>
      <c r="B22">
        <v>73</v>
      </c>
      <c r="C22" s="5">
        <v>11995</v>
      </c>
      <c r="D22">
        <v>2011</v>
      </c>
      <c r="E22" t="s">
        <v>33</v>
      </c>
      <c r="F22" t="s">
        <v>9</v>
      </c>
      <c r="G22">
        <v>98000</v>
      </c>
      <c r="H22" s="2">
        <f>Table13[[#This Row],[Price]]/Table13[[#This Row],[Mileage]]</f>
        <v>0.12239795918367347</v>
      </c>
      <c r="I22" s="3">
        <f ca="1">Table13[[#This Row],[Price]]/Table13[[#This Row],[Age]]</f>
        <v>999.58333333333337</v>
      </c>
      <c r="J22">
        <f ca="1">IF(YEAR(TODAY())=Table13[[#This Row],[year]],0.8,YEAR(TODAY())-Table13[[#This Row],[year]])</f>
        <v>12</v>
      </c>
      <c r="K2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1.838      10,046</v>
      </c>
      <c r="L22" s="4">
        <f t="array" aca="1" ref="L22" ca="1">EXP(INDEX(LINEST(LN(Table13[Price]),Table13[Age]),1,2))*EXP(INDEX(LINEST(LN(Table13[Price]),Table13[Age]),1,1)*Table13[[#This Row],[Age]])/Table13[[#This Row],[Price]]</f>
        <v>0.68916106231746688</v>
      </c>
      <c r="M22" s="4">
        <f ca="1">Table13[[#This Row],[Column1]]*VALUE(SUBSTITUTE(LEFT(Table13[[#This Row],[normal price/real milage]],3),",",""))</f>
        <v>1.2404899121714403</v>
      </c>
      <c r="N22" s="4"/>
    </row>
    <row r="23" spans="1:14" x14ac:dyDescent="0.25">
      <c r="A23" s="1">
        <v>45077</v>
      </c>
      <c r="B23">
        <v>53</v>
      </c>
      <c r="C23" s="5">
        <v>6800</v>
      </c>
      <c r="D23">
        <v>2011</v>
      </c>
      <c r="E23" t="s">
        <v>33</v>
      </c>
      <c r="F23" t="s">
        <v>7</v>
      </c>
      <c r="G23">
        <v>211000</v>
      </c>
      <c r="H23" s="4">
        <f>Table13[[#This Row],[Price]]/Table13[[#This Row],[Mileage]]</f>
        <v>3.2227488151658767E-2</v>
      </c>
      <c r="I23" s="3">
        <f ca="1">Table13[[#This Row],[Price]]/Table13[[#This Row],[Age]]</f>
        <v>566.66666666666663</v>
      </c>
      <c r="J23">
        <f ca="1">IF(YEAR(TODAY())=Table13[[#This Row],[year]],0.8,YEAR(TODAY())-Table13[[#This Row],[year]])</f>
        <v>12</v>
      </c>
      <c r="K2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1.010      69</v>
      </c>
      <c r="L23" s="4">
        <f t="array" aca="1" ref="L23" ca="1">EXP(INDEX(LINEST(LN(Table13[Price]),Table13[Age]),1,2))*EXP(INDEX(LINEST(LN(Table13[Price]),Table13[Age]),1,1)*Table13[[#This Row],[Age]])/Table13[[#This Row],[Price]]</f>
        <v>1.2156598444850022</v>
      </c>
      <c r="M23" s="4">
        <f ca="1">Table13[[#This Row],[Column1]]*VALUE(SUBSTITUTE(LEFT(Table13[[#This Row],[normal price/real milage]],3),",",""))</f>
        <v>1.2156598444850022</v>
      </c>
      <c r="N23" s="4"/>
    </row>
    <row r="24" spans="1:14" x14ac:dyDescent="0.25">
      <c r="A24" s="1">
        <v>45077</v>
      </c>
      <c r="B24">
        <v>82</v>
      </c>
      <c r="C24" s="5">
        <v>10999</v>
      </c>
      <c r="D24">
        <v>2012</v>
      </c>
      <c r="E24" t="s">
        <v>33</v>
      </c>
      <c r="F24" t="s">
        <v>1</v>
      </c>
      <c r="G24">
        <v>142000</v>
      </c>
      <c r="H24" s="2">
        <f>Table13[[#This Row],[Price]]/Table13[[#This Row],[Mileage]]</f>
        <v>7.7457746478873241E-2</v>
      </c>
      <c r="I24" s="3">
        <f ca="1">Table13[[#This Row],[Price]]/Table13[[#This Row],[Age]]</f>
        <v>999.90909090909088</v>
      </c>
      <c r="J24">
        <f ca="1">IF(YEAR(TODAY())=Table13[[#This Row],[year]],0.8,YEAR(TODAY())-Table13[[#This Row],[year]])</f>
        <v>11</v>
      </c>
      <c r="K2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1.467      5,134</v>
      </c>
      <c r="L24" s="4">
        <f t="array" aca="1" ref="L24" ca="1">EXP(INDEX(LINEST(LN(Table13[Price]),Table13[Age]),1,2))*EXP(INDEX(LINEST(LN(Table13[Price]),Table13[Age]),1,1)*Table13[[#This Row],[Age]])/Table13[[#This Row],[Price]]</f>
        <v>0.86068508800060073</v>
      </c>
      <c r="M24" s="4">
        <f ca="1">Table13[[#This Row],[Column1]]*VALUE(SUBSTITUTE(LEFT(Table13[[#This Row],[normal price/real milage]],3),",",""))</f>
        <v>1.204959123200841</v>
      </c>
      <c r="N24" s="4"/>
    </row>
    <row r="25" spans="1:14" x14ac:dyDescent="0.25">
      <c r="A25" s="1">
        <v>45077</v>
      </c>
      <c r="B25">
        <v>0</v>
      </c>
      <c r="C25" s="5">
        <v>11990</v>
      </c>
      <c r="D25">
        <v>2015</v>
      </c>
      <c r="E25" t="s">
        <v>33</v>
      </c>
      <c r="F25" t="s">
        <v>2</v>
      </c>
      <c r="G25">
        <v>165000</v>
      </c>
      <c r="H25" s="4">
        <f>Table13[[#This Row],[Price]]/Table13[[#This Row],[Mileage]]</f>
        <v>7.2666666666666671E-2</v>
      </c>
      <c r="I25" s="3">
        <f ca="1">Table13[[#This Row],[Price]]/Table13[[#This Row],[Age]]</f>
        <v>1498.75</v>
      </c>
      <c r="J25">
        <f ca="1">IF(YEAR(TODAY())=Table13[[#This Row],[year]],0.8,YEAR(TODAY())-Table13[[#This Row],[year]])</f>
        <v>8</v>
      </c>
      <c r="K2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1.088      1,055</v>
      </c>
      <c r="L25" s="4">
        <f t="array" aca="1" ref="L25" ca="1">EXP(INDEX(LINEST(LN(Table13[Price]),Table13[Age]),1,2))*EXP(INDEX(LINEST(LN(Table13[Price]),Table13[Age]),1,1)*Table13[[#This Row],[Age]])/Table13[[#This Row],[Price]]</f>
        <v>1.1857900096947669</v>
      </c>
      <c r="M25" s="4">
        <f ca="1">Table13[[#This Row],[Column1]]*VALUE(SUBSTITUTE(LEFT(Table13[[#This Row],[normal price/real milage]],3),",",""))</f>
        <v>1.1857900096947669</v>
      </c>
      <c r="N25" s="4"/>
    </row>
    <row r="26" spans="1:14" x14ac:dyDescent="0.25">
      <c r="A26" s="1">
        <v>45077</v>
      </c>
      <c r="B26">
        <v>63</v>
      </c>
      <c r="C26" s="5">
        <v>20990</v>
      </c>
      <c r="D26">
        <v>2017</v>
      </c>
      <c r="E26" t="s">
        <v>52</v>
      </c>
      <c r="F26" t="s">
        <v>3</v>
      </c>
      <c r="G26">
        <v>59000</v>
      </c>
      <c r="H26" s="4">
        <f>Table13[[#This Row],[Price]]/Table13[[#This Row],[Mileage]]</f>
        <v>0.35576271186440678</v>
      </c>
      <c r="I26" s="3">
        <f ca="1">Table13[[#This Row],[Price]]/Table13[[#This Row],[Age]]</f>
        <v>3498.3333333333335</v>
      </c>
      <c r="J26">
        <f ca="1">IF(YEAR(TODAY())=Table13[[#This Row],[year]],0.8,YEAR(TODAY())-Table13[[#This Row],[year]])</f>
        <v>6</v>
      </c>
      <c r="K2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1.300      6,288</v>
      </c>
      <c r="L26" s="4">
        <f t="array" aca="1" ref="L26" ca="1">EXP(INDEX(LINEST(LN(Table13[Price]),Table13[Age]),1,2))*EXP(INDEX(LINEST(LN(Table13[Price]),Table13[Age]),1,1)*Table13[[#This Row],[Age]])/Table13[[#This Row],[Price]]</f>
        <v>0.88831608208184665</v>
      </c>
      <c r="M26" s="4">
        <f ca="1">Table13[[#This Row],[Column1]]*VALUE(SUBSTITUTE(LEFT(Table13[[#This Row],[normal price/real milage]],3),",",""))</f>
        <v>1.1548109067064007</v>
      </c>
      <c r="N26" s="4"/>
    </row>
    <row r="27" spans="1:14" x14ac:dyDescent="0.25">
      <c r="A27" s="1">
        <v>45077</v>
      </c>
      <c r="B27">
        <v>65</v>
      </c>
      <c r="C27" s="5">
        <v>15500</v>
      </c>
      <c r="D27">
        <v>2014</v>
      </c>
      <c r="E27" t="s">
        <v>54</v>
      </c>
      <c r="F27" t="s">
        <v>1</v>
      </c>
      <c r="G27">
        <v>93000</v>
      </c>
      <c r="H27" s="4">
        <f>Table13[[#This Row],[Price]]/Table13[[#This Row],[Mileage]]</f>
        <v>0.16666666666666666</v>
      </c>
      <c r="I27" s="3">
        <f ca="1">Table13[[#This Row],[Price]]/Table13[[#This Row],[Age]]</f>
        <v>1722.2222222222222</v>
      </c>
      <c r="J27">
        <f ca="1">IF(YEAR(TODAY())=Table13[[#This Row],[year]],0.8,YEAR(TODAY())-Table13[[#This Row],[year]])</f>
        <v>9</v>
      </c>
      <c r="K2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1.465      7,213</v>
      </c>
      <c r="L27" s="4">
        <f t="array" aca="1" ref="L27" ca="1">EXP(INDEX(LINEST(LN(Table13[Price]),Table13[Age]),1,2))*EXP(INDEX(LINEST(LN(Table13[Price]),Table13[Age]),1,1)*Table13[[#This Row],[Age]])/Table13[[#This Row],[Price]]</f>
        <v>0.80097465764807996</v>
      </c>
      <c r="M27" s="4">
        <f ca="1">Table13[[#This Row],[Column1]]*VALUE(SUBSTITUTE(LEFT(Table13[[#This Row],[normal price/real milage]],3),",",""))</f>
        <v>1.121364520707312</v>
      </c>
      <c r="N27" s="4"/>
    </row>
    <row r="28" spans="1:14" x14ac:dyDescent="0.25">
      <c r="A28" s="1">
        <v>45077</v>
      </c>
      <c r="B28">
        <v>79</v>
      </c>
      <c r="C28" s="5">
        <v>29222</v>
      </c>
      <c r="D28">
        <v>2021</v>
      </c>
      <c r="E28" t="s">
        <v>33</v>
      </c>
      <c r="F28" t="s">
        <v>1</v>
      </c>
      <c r="G28">
        <v>40000</v>
      </c>
      <c r="H28" s="4">
        <f>Table13[[#This Row],[Price]]/Table13[[#This Row],[Mileage]]</f>
        <v>0.73055000000000003</v>
      </c>
      <c r="I28" s="3">
        <f ca="1">Table13[[#This Row],[Price]]/Table13[[#This Row],[Age]]</f>
        <v>14611</v>
      </c>
      <c r="J28">
        <f ca="1">IF(YEAR(TODAY())=Table13[[#This Row],[year]],0.8,YEAR(TODAY())-Table13[[#This Row],[year]])</f>
        <v>2</v>
      </c>
      <c r="K2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1.021      607</v>
      </c>
      <c r="L28" s="4">
        <f t="array" aca="1" ref="L28" ca="1">EXP(INDEX(LINEST(LN(Table13[Price]),Table13[Age]),1,2))*EXP(INDEX(LINEST(LN(Table13[Price]),Table13[Age]),1,1)*Table13[[#This Row],[Age]])/Table13[[#This Row],[Price]]</f>
        <v>1.0974279399528934</v>
      </c>
      <c r="M28" s="4">
        <f ca="1">Table13[[#This Row],[Column1]]*VALUE(SUBSTITUTE(LEFT(Table13[[#This Row],[normal price/real milage]],3),",",""))</f>
        <v>1.0974279399528934</v>
      </c>
      <c r="N28" s="4"/>
    </row>
    <row r="29" spans="1:14" x14ac:dyDescent="0.25">
      <c r="A29" s="1">
        <v>45077</v>
      </c>
      <c r="B29">
        <v>16</v>
      </c>
      <c r="C29" s="5">
        <v>18995</v>
      </c>
      <c r="D29">
        <v>2017</v>
      </c>
      <c r="E29" t="s">
        <v>33</v>
      </c>
      <c r="F29" t="s">
        <v>13</v>
      </c>
      <c r="G29">
        <v>104000</v>
      </c>
      <c r="H29" s="4">
        <f>Table13[[#This Row],[Price]]/Table13[[#This Row],[Mileage]]</f>
        <v>0.18264423076923078</v>
      </c>
      <c r="I29" s="3">
        <f ca="1">Table13[[#This Row],[Price]]/Table13[[#This Row],[Age]]</f>
        <v>3165.8333333333335</v>
      </c>
      <c r="J29">
        <f ca="1">IF(YEAR(TODAY())=Table13[[#This Row],[year]],0.8,YEAR(TODAY())-Table13[[#This Row],[year]])</f>
        <v>6</v>
      </c>
      <c r="K2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1.118      2,241</v>
      </c>
      <c r="L29" s="4">
        <f t="array" aca="1" ref="L29" ca="1">EXP(INDEX(LINEST(LN(Table13[Price]),Table13[Age]),1,2))*EXP(INDEX(LINEST(LN(Table13[Price]),Table13[Age]),1,1)*Table13[[#This Row],[Age]])/Table13[[#This Row],[Price]]</f>
        <v>0.98161382273745512</v>
      </c>
      <c r="M29" s="4">
        <f ca="1">Table13[[#This Row],[Column1]]*VALUE(SUBSTITUTE(LEFT(Table13[[#This Row],[normal price/real milage]],3),",",""))</f>
        <v>1.0797752050112006</v>
      </c>
      <c r="N29" s="4"/>
    </row>
    <row r="30" spans="1:14" x14ac:dyDescent="0.25">
      <c r="A30" s="1">
        <v>45077</v>
      </c>
      <c r="B30">
        <v>1</v>
      </c>
      <c r="C30" s="5">
        <v>26000</v>
      </c>
      <c r="D30">
        <v>2020</v>
      </c>
      <c r="E30" t="s">
        <v>33</v>
      </c>
      <c r="F30" t="s">
        <v>13</v>
      </c>
      <c r="G30">
        <v>65000</v>
      </c>
      <c r="H30" s="4">
        <f>Table13[[#This Row],[Price]]/Table13[[#This Row],[Mileage]]</f>
        <v>0.4</v>
      </c>
      <c r="I30" s="3">
        <f ca="1">Table13[[#This Row],[Price]]/Table13[[#This Row],[Age]]</f>
        <v>8666.6666666666661</v>
      </c>
      <c r="J30">
        <f ca="1">IF(YEAR(TODAY())=Table13[[#This Row],[year]],0.8,YEAR(TODAY())-Table13[[#This Row],[year]])</f>
        <v>3</v>
      </c>
      <c r="K3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1.018      472</v>
      </c>
      <c r="L30" s="4">
        <f t="array" aca="1" ref="L30" ca="1">EXP(INDEX(LINEST(LN(Table13[Price]),Table13[Age]),1,2))*EXP(INDEX(LINEST(LN(Table13[Price]),Table13[Age]),1,1)*Table13[[#This Row],[Age]])/Table13[[#This Row],[Price]]</f>
        <v>1.0770505946440949</v>
      </c>
      <c r="M30" s="4">
        <f ca="1">Table13[[#This Row],[Column1]]*VALUE(SUBSTITUTE(LEFT(Table13[[#This Row],[normal price/real milage]],3),",",""))</f>
        <v>1.0770505946440949</v>
      </c>
      <c r="N30" s="4"/>
    </row>
    <row r="31" spans="1:14" x14ac:dyDescent="0.25">
      <c r="A31" s="1">
        <v>45077</v>
      </c>
      <c r="B31">
        <v>33</v>
      </c>
      <c r="C31" s="5">
        <v>26495</v>
      </c>
      <c r="D31">
        <v>2020</v>
      </c>
      <c r="E31" t="s">
        <v>33</v>
      </c>
      <c r="F31" t="s">
        <v>6</v>
      </c>
      <c r="G31">
        <v>55000</v>
      </c>
      <c r="H31" s="4">
        <f>Table13[[#This Row],[Price]]/Table13[[#This Row],[Mileage]]</f>
        <v>0.48172727272727273</v>
      </c>
      <c r="I31" s="3">
        <f ca="1">Table13[[#This Row],[Price]]/Table13[[#This Row],[Age]]</f>
        <v>8831.6666666666661</v>
      </c>
      <c r="J31">
        <f ca="1">IF(YEAR(TODAY())=Table13[[#This Row],[year]],0.8,YEAR(TODAY())-Table13[[#This Row],[year]])</f>
        <v>3</v>
      </c>
      <c r="K3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1.050      1,320</v>
      </c>
      <c r="L31" s="4">
        <f t="array" aca="1" ref="L31" ca="1">EXP(INDEX(LINEST(LN(Table13[Price]),Table13[Age]),1,2))*EXP(INDEX(LINEST(LN(Table13[Price]),Table13[Age]),1,1)*Table13[[#This Row],[Age]])/Table13[[#This Row],[Price]]</f>
        <v>1.056928305746234</v>
      </c>
      <c r="M31" s="4">
        <f ca="1">Table13[[#This Row],[Column1]]*VALUE(SUBSTITUTE(LEFT(Table13[[#This Row],[normal price/real milage]],3),",",""))</f>
        <v>1.056928305746234</v>
      </c>
      <c r="N31" s="4"/>
    </row>
    <row r="32" spans="1:14" x14ac:dyDescent="0.25">
      <c r="A32" s="1">
        <v>45077</v>
      </c>
      <c r="B32">
        <v>22</v>
      </c>
      <c r="C32" s="5">
        <v>31900</v>
      </c>
      <c r="D32">
        <v>2022</v>
      </c>
      <c r="E32" t="s">
        <v>39</v>
      </c>
      <c r="F32" t="s">
        <v>1</v>
      </c>
      <c r="G32">
        <v>40000</v>
      </c>
      <c r="H32" s="4">
        <f>Table13[[#This Row],[Price]]/Table13[[#This Row],[Mileage]]</f>
        <v>0.79749999999999999</v>
      </c>
      <c r="I32" s="3">
        <f ca="1">Table13[[#This Row],[Price]]/Table13[[#This Row],[Age]]</f>
        <v>31900</v>
      </c>
      <c r="J32">
        <f ca="1">IF(YEAR(TODAY())=Table13[[#This Row],[year]],0.8,YEAR(TODAY())-Table13[[#This Row],[year]])</f>
        <v>1</v>
      </c>
      <c r="K3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0.935      -2,071</v>
      </c>
      <c r="L32" s="4">
        <f t="array" aca="1" ref="L32" ca="1">EXP(INDEX(LINEST(LN(Table13[Price]),Table13[Age]),1,2))*EXP(INDEX(LINEST(LN(Table13[Price]),Table13[Age]),1,1)*Table13[[#This Row],[Age]])/Table13[[#This Row],[Price]]</f>
        <v>1.151255618749758</v>
      </c>
      <c r="M32" s="4">
        <f ca="1">Table13[[#This Row],[Column1]]*VALUE(SUBSTITUTE(LEFT(Table13[[#This Row],[normal price/real milage]],3),",",""))</f>
        <v>1.0361300568747822</v>
      </c>
      <c r="N32" s="4"/>
    </row>
    <row r="33" spans="1:14" x14ac:dyDescent="0.25">
      <c r="A33" s="1">
        <v>45077</v>
      </c>
      <c r="B33">
        <v>38</v>
      </c>
      <c r="C33" s="5">
        <v>21991</v>
      </c>
      <c r="D33">
        <v>2017</v>
      </c>
      <c r="E33" t="s">
        <v>43</v>
      </c>
      <c r="F33" t="s">
        <v>1</v>
      </c>
      <c r="G33">
        <v>52000</v>
      </c>
      <c r="H33" s="4">
        <f>Table13[[#This Row],[Price]]/Table13[[#This Row],[Mileage]]</f>
        <v>0.42290384615384613</v>
      </c>
      <c r="I33" s="3">
        <f ca="1">Table13[[#This Row],[Price]]/Table13[[#This Row],[Age]]</f>
        <v>3665.1666666666665</v>
      </c>
      <c r="J33">
        <f ca="1">IF(YEAR(TODAY())=Table13[[#This Row],[year]],0.8,YEAR(TODAY())-Table13[[#This Row],[year]])</f>
        <v>6</v>
      </c>
      <c r="K3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1.283      6,227</v>
      </c>
      <c r="L33" s="4">
        <f t="array" aca="1" ref="L33" ca="1">EXP(INDEX(LINEST(LN(Table13[Price]),Table13[Age]),1,2))*EXP(INDEX(LINEST(LN(Table13[Price]),Table13[Age]),1,1)*Table13[[#This Row],[Age]])/Table13[[#This Row],[Price]]</f>
        <v>0.84788115878759318</v>
      </c>
      <c r="M33" s="4">
        <f ca="1">Table13[[#This Row],[Column1]]*VALUE(SUBSTITUTE(LEFT(Table13[[#This Row],[normal price/real milage]],3),",",""))</f>
        <v>1.0174573905451119</v>
      </c>
      <c r="N33" s="4"/>
    </row>
    <row r="34" spans="1:14" x14ac:dyDescent="0.25">
      <c r="A34" s="1">
        <v>45077</v>
      </c>
      <c r="B34">
        <v>76</v>
      </c>
      <c r="C34" s="5">
        <v>21995</v>
      </c>
      <c r="D34">
        <v>2017</v>
      </c>
      <c r="E34" t="s">
        <v>33</v>
      </c>
      <c r="F34" t="s">
        <v>9</v>
      </c>
      <c r="G34">
        <v>52000</v>
      </c>
      <c r="H34" s="4">
        <f>Table13[[#This Row],[Price]]/Table13[[#This Row],[Mileage]]</f>
        <v>0.42298076923076922</v>
      </c>
      <c r="I34" s="3">
        <f ca="1">Table13[[#This Row],[Price]]/Table13[[#This Row],[Age]]</f>
        <v>3665.8333333333335</v>
      </c>
      <c r="J34">
        <f ca="1">IF(YEAR(TODAY())=Table13[[#This Row],[year]],0.8,YEAR(TODAY())-Table13[[#This Row],[year]])</f>
        <v>6</v>
      </c>
      <c r="K3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1.283      6,223</v>
      </c>
      <c r="L34" s="4">
        <f t="array" aca="1" ref="L34" ca="1">EXP(INDEX(LINEST(LN(Table13[Price]),Table13[Age]),1,2))*EXP(INDEX(LINEST(LN(Table13[Price]),Table13[Age]),1,1)*Table13[[#This Row],[Age]])/Table13[[#This Row],[Price]]</f>
        <v>0.8477269635325283</v>
      </c>
      <c r="M34" s="4">
        <f ca="1">Table13[[#This Row],[Column1]]*VALUE(SUBSTITUTE(LEFT(Table13[[#This Row],[normal price/real milage]],3),",",""))</f>
        <v>1.017272356239034</v>
      </c>
      <c r="N34" s="4"/>
    </row>
    <row r="35" spans="1:14" x14ac:dyDescent="0.25">
      <c r="A35" s="1">
        <v>45077</v>
      </c>
      <c r="B35">
        <v>20</v>
      </c>
      <c r="C35" s="5">
        <v>21000</v>
      </c>
      <c r="D35">
        <v>2018</v>
      </c>
      <c r="E35" t="s">
        <v>33</v>
      </c>
      <c r="F35" t="s">
        <v>1</v>
      </c>
      <c r="G35">
        <v>100000</v>
      </c>
      <c r="H35" s="4">
        <f>Table13[[#This Row],[Price]]/Table13[[#This Row],[Mileage]]</f>
        <v>0.21</v>
      </c>
      <c r="I35" s="3">
        <f ca="1">Table13[[#This Row],[Price]]/Table13[[#This Row],[Age]]</f>
        <v>4200</v>
      </c>
      <c r="J35">
        <f ca="1">IF(YEAR(TODAY())=Table13[[#This Row],[year]],0.8,YEAR(TODAY())-Table13[[#This Row],[year]])</f>
        <v>5</v>
      </c>
      <c r="K3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1.037      773</v>
      </c>
      <c r="L35" s="4">
        <f t="array" aca="1" ref="L35" ca="1">EXP(INDEX(LINEST(LN(Table13[Price]),Table13[Age]),1,2))*EXP(INDEX(LINEST(LN(Table13[Price]),Table13[Age]),1,1)*Table13[[#This Row],[Age]])/Table13[[#This Row],[Price]]</f>
        <v>1.0168038103719039</v>
      </c>
      <c r="M35" s="4">
        <f ca="1">Table13[[#This Row],[Column1]]*VALUE(SUBSTITUTE(LEFT(Table13[[#This Row],[normal price/real milage]],3),",",""))</f>
        <v>1.0168038103719039</v>
      </c>
      <c r="N35" s="4"/>
    </row>
    <row r="36" spans="1:14" x14ac:dyDescent="0.25">
      <c r="A36" s="1">
        <v>45077</v>
      </c>
      <c r="B36">
        <v>85</v>
      </c>
      <c r="C36" s="5">
        <v>27995</v>
      </c>
      <c r="D36">
        <v>2020</v>
      </c>
      <c r="E36" t="s">
        <v>62</v>
      </c>
      <c r="F36" t="s">
        <v>15</v>
      </c>
      <c r="G36">
        <v>43000</v>
      </c>
      <c r="H36" s="4">
        <f>Table13[[#This Row],[Price]]/Table13[[#This Row],[Mileage]]</f>
        <v>0.65104651162790694</v>
      </c>
      <c r="I36" s="3">
        <f ca="1">Table13[[#This Row],[Price]]/Table13[[#This Row],[Age]]</f>
        <v>9331.6666666666661</v>
      </c>
      <c r="J36">
        <f ca="1">IF(YEAR(TODAY())=Table13[[#This Row],[year]],0.8,YEAR(TODAY())-Table13[[#This Row],[year]])</f>
        <v>3</v>
      </c>
      <c r="K3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1.051      1,431</v>
      </c>
      <c r="L36" s="4">
        <f t="array" aca="1" ref="L36" ca="1">EXP(INDEX(LINEST(LN(Table13[Price]),Table13[Age]),1,2))*EXP(INDEX(LINEST(LN(Table13[Price]),Table13[Age]),1,1)*Table13[[#This Row],[Age]])/Table13[[#This Row],[Price]]</f>
        <v>1.0002970337826922</v>
      </c>
      <c r="M36" s="4">
        <f ca="1">Table13[[#This Row],[Column1]]*VALUE(SUBSTITUTE(LEFT(Table13[[#This Row],[normal price/real milage]],3),",",""))</f>
        <v>1.0002970337826922</v>
      </c>
      <c r="N36" s="4"/>
    </row>
    <row r="37" spans="1:14" x14ac:dyDescent="0.25">
      <c r="A37" s="1">
        <v>45077</v>
      </c>
      <c r="B37">
        <v>40</v>
      </c>
      <c r="C37" s="5">
        <v>33696</v>
      </c>
      <c r="D37">
        <v>2022</v>
      </c>
      <c r="E37" t="s">
        <v>33</v>
      </c>
      <c r="F37" t="s">
        <v>9</v>
      </c>
      <c r="G37">
        <v>33000</v>
      </c>
      <c r="H37" s="4">
        <f>Table13[[#This Row],[Price]]/Table13[[#This Row],[Mileage]]</f>
        <v>1.021090909090909</v>
      </c>
      <c r="I37" s="3">
        <f ca="1">Table13[[#This Row],[Price]]/Table13[[#This Row],[Age]]</f>
        <v>33696</v>
      </c>
      <c r="J37">
        <f ca="1">IF(YEAR(TODAY())=Table13[[#This Row],[year]],0.8,YEAR(TODAY())-Table13[[#This Row],[year]])</f>
        <v>1</v>
      </c>
      <c r="K3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0.913      -2,927</v>
      </c>
      <c r="L37" s="4">
        <f t="array" aca="1" ref="L37" ca="1">EXP(INDEX(LINEST(LN(Table13[Price]),Table13[Age]),1,2))*EXP(INDEX(LINEST(LN(Table13[Price]),Table13[Age]),1,1)*Table13[[#This Row],[Age]])/Table13[[#This Row],[Price]]</f>
        <v>1.0898935849393778</v>
      </c>
      <c r="M37" s="4">
        <f ca="1">Table13[[#This Row],[Column1]]*VALUE(SUBSTITUTE(LEFT(Table13[[#This Row],[normal price/real milage]],3),",",""))</f>
        <v>0.98090422644544006</v>
      </c>
      <c r="N37" s="4"/>
    </row>
    <row r="38" spans="1:14" x14ac:dyDescent="0.25">
      <c r="A38" s="1">
        <v>45077</v>
      </c>
      <c r="B38">
        <v>89</v>
      </c>
      <c r="C38" s="5">
        <v>24950</v>
      </c>
      <c r="D38">
        <v>2019</v>
      </c>
      <c r="E38" t="s">
        <v>33</v>
      </c>
      <c r="F38" t="s">
        <v>1</v>
      </c>
      <c r="G38">
        <v>60000</v>
      </c>
      <c r="H38" s="4">
        <f>Table13[[#This Row],[Price]]/Table13[[#This Row],[Mileage]]</f>
        <v>0.41583333333333333</v>
      </c>
      <c r="I38" s="3">
        <f ca="1">Table13[[#This Row],[Price]]/Table13[[#This Row],[Age]]</f>
        <v>6237.5</v>
      </c>
      <c r="J38">
        <f ca="1">IF(YEAR(TODAY())=Table13[[#This Row],[year]],0.8,YEAR(TODAY())-Table13[[#This Row],[year]])</f>
        <v>4</v>
      </c>
      <c r="K3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1.088      2,194</v>
      </c>
      <c r="L38" s="4">
        <f t="array" aca="1" ref="L38" ca="1">EXP(INDEX(LINEST(LN(Table13[Price]),Table13[Age]),1,2))*EXP(INDEX(LINEST(LN(Table13[Price]),Table13[Age]),1,1)*Table13[[#This Row],[Age]])/Table13[[#This Row],[Price]]</f>
        <v>0.9800819847129999</v>
      </c>
      <c r="M38" s="4">
        <f ca="1">Table13[[#This Row],[Column1]]*VALUE(SUBSTITUTE(LEFT(Table13[[#This Row],[normal price/real milage]],3),",",""))</f>
        <v>0.9800819847129999</v>
      </c>
      <c r="N38" s="4"/>
    </row>
    <row r="39" spans="1:14" x14ac:dyDescent="0.25">
      <c r="A39" s="1">
        <v>45077</v>
      </c>
      <c r="B39">
        <v>5</v>
      </c>
      <c r="C39" s="5">
        <v>20999</v>
      </c>
      <c r="D39">
        <v>2017</v>
      </c>
      <c r="E39" t="s">
        <v>33</v>
      </c>
      <c r="F39" t="s">
        <v>1</v>
      </c>
      <c r="G39">
        <v>81000</v>
      </c>
      <c r="H39" s="4">
        <f>Table13[[#This Row],[Price]]/Table13[[#This Row],[Mileage]]</f>
        <v>0.25924691358024693</v>
      </c>
      <c r="I39" s="3">
        <f ca="1">Table13[[#This Row],[Price]]/Table13[[#This Row],[Age]]</f>
        <v>3499.8333333333335</v>
      </c>
      <c r="J39">
        <f ca="1">IF(YEAR(TODAY())=Table13[[#This Row],[year]],0.8,YEAR(TODAY())-Table13[[#This Row],[year]])</f>
        <v>6</v>
      </c>
      <c r="K3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1.158      3,325</v>
      </c>
      <c r="L39" s="4">
        <f t="array" aca="1" ref="L39" ca="1">EXP(INDEX(LINEST(LN(Table13[Price]),Table13[Age]),1,2))*EXP(INDEX(LINEST(LN(Table13[Price]),Table13[Age]),1,1)*Table13[[#This Row],[Age]])/Table13[[#This Row],[Price]]</f>
        <v>0.8879353570597629</v>
      </c>
      <c r="M39" s="4">
        <f ca="1">Table13[[#This Row],[Column1]]*VALUE(SUBSTITUTE(LEFT(Table13[[#This Row],[normal price/real milage]],3),",",""))</f>
        <v>0.97672889276573926</v>
      </c>
      <c r="N39" s="4"/>
    </row>
    <row r="40" spans="1:14" x14ac:dyDescent="0.25">
      <c r="A40" s="1">
        <v>45077</v>
      </c>
      <c r="B40">
        <v>11</v>
      </c>
      <c r="C40" s="5">
        <v>29995</v>
      </c>
      <c r="D40">
        <v>2021</v>
      </c>
      <c r="E40" t="s">
        <v>33</v>
      </c>
      <c r="F40" t="s">
        <v>36</v>
      </c>
      <c r="G40">
        <v>46000</v>
      </c>
      <c r="H40" s="4">
        <f>Table13[[#This Row],[Price]]/Table13[[#This Row],[Mileage]]</f>
        <v>0.6520652173913043</v>
      </c>
      <c r="I40" s="3">
        <f ca="1">Table13[[#This Row],[Price]]/Table13[[#This Row],[Age]]</f>
        <v>14997.5</v>
      </c>
      <c r="J40">
        <f ca="1">IF(YEAR(TODAY())=Table13[[#This Row],[year]],0.8,YEAR(TODAY())-Table13[[#This Row],[year]])</f>
        <v>2</v>
      </c>
      <c r="K4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0.968      -972</v>
      </c>
      <c r="L40" s="4">
        <f t="array" aca="1" ref="L40" ca="1">EXP(INDEX(LINEST(LN(Table13[Price]),Table13[Age]),1,2))*EXP(INDEX(LINEST(LN(Table13[Price]),Table13[Age]),1,1)*Table13[[#This Row],[Age]])/Table13[[#This Row],[Price]]</f>
        <v>1.0691461664045157</v>
      </c>
      <c r="M40" s="4">
        <f ca="1">Table13[[#This Row],[Column1]]*VALUE(SUBSTITUTE(LEFT(Table13[[#This Row],[normal price/real milage]],3),",",""))</f>
        <v>0.96223154976406411</v>
      </c>
      <c r="N40" s="4"/>
    </row>
    <row r="41" spans="1:14" x14ac:dyDescent="0.25">
      <c r="A41" s="1">
        <v>45077</v>
      </c>
      <c r="B41">
        <v>64</v>
      </c>
      <c r="C41" s="5">
        <v>35788</v>
      </c>
      <c r="D41">
        <v>2023</v>
      </c>
      <c r="E41" t="s">
        <v>53</v>
      </c>
      <c r="F41" t="s">
        <v>7</v>
      </c>
      <c r="G41">
        <v>300</v>
      </c>
      <c r="H41" s="4">
        <f>Table13[[#This Row],[Price]]/Table13[[#This Row],[Mileage]]</f>
        <v>119.29333333333334</v>
      </c>
      <c r="I41" s="3">
        <f ca="1">Table13[[#This Row],[Price]]/Table13[[#This Row],[Age]]</f>
        <v>44735</v>
      </c>
      <c r="J41">
        <f ca="1">IF(YEAR(TODAY())=Table13[[#This Row],[year]],0.8,YEAR(TODAY())-Table13[[#This Row],[year]])</f>
        <v>0.8</v>
      </c>
      <c r="K4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0.982      -629</v>
      </c>
      <c r="L41" s="4">
        <f t="array" aca="1" ref="L41" ca="1">EXP(INDEX(LINEST(LN(Table13[Price]),Table13[Age]),1,2))*EXP(INDEX(LINEST(LN(Table13[Price]),Table13[Age]),1,1)*Table13[[#This Row],[Age]])/Table13[[#This Row],[Price]]</f>
        <v>1.0543876647778248</v>
      </c>
      <c r="M41" s="4">
        <f ca="1">Table13[[#This Row],[Column1]]*VALUE(SUBSTITUTE(LEFT(Table13[[#This Row],[normal price/real milage]],3),",",""))</f>
        <v>0.94894889830004225</v>
      </c>
      <c r="N41" s="4"/>
    </row>
    <row r="42" spans="1:14" x14ac:dyDescent="0.25">
      <c r="A42" s="1">
        <v>45077</v>
      </c>
      <c r="B42">
        <v>55</v>
      </c>
      <c r="C42" s="5">
        <v>35800</v>
      </c>
      <c r="D42">
        <v>2023</v>
      </c>
      <c r="E42" t="s">
        <v>50</v>
      </c>
      <c r="F42" t="s">
        <v>51</v>
      </c>
      <c r="G42">
        <v>300</v>
      </c>
      <c r="H42" s="4">
        <f>Table13[[#This Row],[Price]]/Table13[[#This Row],[Mileage]]</f>
        <v>119.33333333333333</v>
      </c>
      <c r="I42" s="3">
        <f ca="1">Table13[[#This Row],[Price]]/Table13[[#This Row],[Age]]</f>
        <v>44750</v>
      </c>
      <c r="J42">
        <f ca="1">IF(YEAR(TODAY())=Table13[[#This Row],[year]],0.8,YEAR(TODAY())-Table13[[#This Row],[year]])</f>
        <v>0.8</v>
      </c>
      <c r="K4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0.982      -641</v>
      </c>
      <c r="L42" s="4">
        <f t="array" aca="1" ref="L42" ca="1">EXP(INDEX(LINEST(LN(Table13[Price]),Table13[Age]),1,2))*EXP(INDEX(LINEST(LN(Table13[Price]),Table13[Age]),1,1)*Table13[[#This Row],[Age]])/Table13[[#This Row],[Price]]</f>
        <v>1.0540342387449384</v>
      </c>
      <c r="M42" s="4">
        <f ca="1">Table13[[#This Row],[Column1]]*VALUE(SUBSTITUTE(LEFT(Table13[[#This Row],[normal price/real milage]],3),",",""))</f>
        <v>0.94863081487044454</v>
      </c>
      <c r="N42" s="4"/>
    </row>
    <row r="43" spans="1:14" x14ac:dyDescent="0.25">
      <c r="A43" s="1">
        <v>45077</v>
      </c>
      <c r="B43">
        <v>39</v>
      </c>
      <c r="C43" s="5">
        <v>35999</v>
      </c>
      <c r="D43">
        <v>2023</v>
      </c>
      <c r="E43" t="s">
        <v>33</v>
      </c>
      <c r="F43" t="s">
        <v>1</v>
      </c>
      <c r="G43">
        <v>300</v>
      </c>
      <c r="H43" s="4">
        <f>Table13[[#This Row],[Price]]/Table13[[#This Row],[Mileage]]</f>
        <v>119.99666666666667</v>
      </c>
      <c r="I43" s="3">
        <f ca="1">Table13[[#This Row],[Price]]/Table13[[#This Row],[Age]]</f>
        <v>44998.75</v>
      </c>
      <c r="J43">
        <f ca="1">IF(YEAR(TODAY())=Table13[[#This Row],[year]],0.8,YEAR(TODAY())-Table13[[#This Row],[year]])</f>
        <v>0.8</v>
      </c>
      <c r="K4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0.977      -840</v>
      </c>
      <c r="L43" s="4">
        <f t="array" aca="1" ref="L43" ca="1">EXP(INDEX(LINEST(LN(Table13[Price]),Table13[Age]),1,2))*EXP(INDEX(LINEST(LN(Table13[Price]),Table13[Age]),1,1)*Table13[[#This Row],[Age]])/Table13[[#This Row],[Price]]</f>
        <v>1.0482076098521846</v>
      </c>
      <c r="M43" s="4">
        <f ca="1">Table13[[#This Row],[Column1]]*VALUE(SUBSTITUTE(LEFT(Table13[[#This Row],[normal price/real milage]],3),",",""))</f>
        <v>0.94338684886696622</v>
      </c>
      <c r="N43" s="4"/>
    </row>
    <row r="44" spans="1:14" x14ac:dyDescent="0.25">
      <c r="A44" s="1">
        <v>45077</v>
      </c>
      <c r="B44">
        <v>28</v>
      </c>
      <c r="C44" s="5">
        <v>24495</v>
      </c>
      <c r="D44">
        <v>2019</v>
      </c>
      <c r="E44" t="s">
        <v>33</v>
      </c>
      <c r="F44" t="s">
        <v>7</v>
      </c>
      <c r="G44">
        <v>85000</v>
      </c>
      <c r="H44" s="4">
        <f>Table13[[#This Row],[Price]]/Table13[[#This Row],[Mileage]]</f>
        <v>0.28817647058823531</v>
      </c>
      <c r="I44" s="3">
        <f ca="1">Table13[[#This Row],[Price]]/Table13[[#This Row],[Age]]</f>
        <v>6123.75</v>
      </c>
      <c r="J44">
        <f ca="1">IF(YEAR(TODAY())=Table13[[#This Row],[year]],0.8,YEAR(TODAY())-Table13[[#This Row],[year]])</f>
        <v>4</v>
      </c>
      <c r="K4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0.971      -708</v>
      </c>
      <c r="L44" s="4">
        <f t="array" aca="1" ref="L44" ca="1">EXP(INDEX(LINEST(LN(Table13[Price]),Table13[Age]),1,2))*EXP(INDEX(LINEST(LN(Table13[Price]),Table13[Age]),1,1)*Table13[[#This Row],[Age]])/Table13[[#This Row],[Price]]</f>
        <v>0.99828722264092051</v>
      </c>
      <c r="M44" s="4">
        <f ca="1">Table13[[#This Row],[Column1]]*VALUE(SUBSTITUTE(LEFT(Table13[[#This Row],[normal price/real milage]],3),",",""))</f>
        <v>0.89845850037682851</v>
      </c>
      <c r="N44" s="4"/>
    </row>
    <row r="45" spans="1:14" x14ac:dyDescent="0.25">
      <c r="A45" s="1">
        <v>45077</v>
      </c>
      <c r="B45">
        <v>18</v>
      </c>
      <c r="C45" s="5">
        <v>16735</v>
      </c>
      <c r="D45">
        <v>2017</v>
      </c>
      <c r="E45" t="s">
        <v>33</v>
      </c>
      <c r="F45" t="s">
        <v>2</v>
      </c>
      <c r="G45">
        <v>159000</v>
      </c>
      <c r="H45" s="4">
        <f>Table13[[#This Row],[Price]]/Table13[[#This Row],[Mileage]]</f>
        <v>0.10525157232704402</v>
      </c>
      <c r="I45" s="3">
        <f ca="1">Table13[[#This Row],[Price]]/Table13[[#This Row],[Age]]</f>
        <v>2789.1666666666665</v>
      </c>
      <c r="J45">
        <f ca="1">IF(YEAR(TODAY())=Table13[[#This Row],[year]],0.8,YEAR(TODAY())-Table13[[#This Row],[year]])</f>
        <v>6</v>
      </c>
      <c r="K4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0.828      -2,884</v>
      </c>
      <c r="L45" s="4">
        <f t="array" aca="1" ref="L45" ca="1">EXP(INDEX(LINEST(LN(Table13[Price]),Table13[Age]),1,2))*EXP(INDEX(LINEST(LN(Table13[Price]),Table13[Age]),1,1)*Table13[[#This Row],[Age]])/Table13[[#This Row],[Price]]</f>
        <v>1.1141771474692537</v>
      </c>
      <c r="M45" s="4">
        <f ca="1">Table13[[#This Row],[Column1]]*VALUE(SUBSTITUTE(LEFT(Table13[[#This Row],[normal price/real milage]],3),",",""))</f>
        <v>0.89134171797540296</v>
      </c>
      <c r="N45" s="4"/>
    </row>
    <row r="46" spans="1:14" x14ac:dyDescent="0.25">
      <c r="A46" s="1">
        <v>45077</v>
      </c>
      <c r="B46">
        <v>39</v>
      </c>
      <c r="C46" s="5">
        <v>20950</v>
      </c>
      <c r="D46">
        <v>2017</v>
      </c>
      <c r="E46" t="s">
        <v>33</v>
      </c>
      <c r="F46" t="s">
        <v>1</v>
      </c>
      <c r="G46">
        <v>100000</v>
      </c>
      <c r="H46" s="4">
        <f>Table13[[#This Row],[Price]]/Table13[[#This Row],[Mileage]]</f>
        <v>0.20949999999999999</v>
      </c>
      <c r="I46" s="3">
        <f ca="1">Table13[[#This Row],[Price]]/Table13[[#This Row],[Age]]</f>
        <v>3491.6666666666665</v>
      </c>
      <c r="J46">
        <f ca="1">IF(YEAR(TODAY())=Table13[[#This Row],[year]],0.8,YEAR(TODAY())-Table13[[#This Row],[year]])</f>
        <v>6</v>
      </c>
      <c r="K4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1.039      823</v>
      </c>
      <c r="L46" s="4">
        <f t="array" aca="1" ref="L46" ca="1">EXP(INDEX(LINEST(LN(Table13[Price]),Table13[Age]),1,2))*EXP(INDEX(LINEST(LN(Table13[Price]),Table13[Age]),1,1)*Table13[[#This Row],[Age]])/Table13[[#This Row],[Price]]</f>
        <v>0.89001215097364972</v>
      </c>
      <c r="M46" s="4">
        <f ca="1">Table13[[#This Row],[Column1]]*VALUE(SUBSTITUTE(LEFT(Table13[[#This Row],[normal price/real milage]],3),",",""))</f>
        <v>0.89001215097364972</v>
      </c>
      <c r="N46" s="4"/>
    </row>
    <row r="47" spans="1:14" x14ac:dyDescent="0.25">
      <c r="A47" s="1">
        <v>45077</v>
      </c>
      <c r="B47">
        <v>67</v>
      </c>
      <c r="C47" s="5">
        <v>20950</v>
      </c>
      <c r="D47">
        <v>2017</v>
      </c>
      <c r="E47" t="s">
        <v>33</v>
      </c>
      <c r="F47" t="s">
        <v>8</v>
      </c>
      <c r="G47">
        <v>100000</v>
      </c>
      <c r="H47" s="4">
        <f>Table13[[#This Row],[Price]]/Table13[[#This Row],[Mileage]]</f>
        <v>0.20949999999999999</v>
      </c>
      <c r="I47" s="3">
        <f ca="1">Table13[[#This Row],[Price]]/Table13[[#This Row],[Age]]</f>
        <v>3491.6666666666665</v>
      </c>
      <c r="J47">
        <f ca="1">IF(YEAR(TODAY())=Table13[[#This Row],[year]],0.8,YEAR(TODAY())-Table13[[#This Row],[year]])</f>
        <v>6</v>
      </c>
      <c r="K4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1.039      823</v>
      </c>
      <c r="L47" s="4">
        <f t="array" aca="1" ref="L47" ca="1">EXP(INDEX(LINEST(LN(Table13[Price]),Table13[Age]),1,2))*EXP(INDEX(LINEST(LN(Table13[Price]),Table13[Age]),1,1)*Table13[[#This Row],[Age]])/Table13[[#This Row],[Price]]</f>
        <v>0.89001215097364972</v>
      </c>
      <c r="M47" s="4">
        <f ca="1">Table13[[#This Row],[Column1]]*VALUE(SUBSTITUTE(LEFT(Table13[[#This Row],[normal price/real milage]],3),",",""))</f>
        <v>0.89001215097364972</v>
      </c>
      <c r="N47" s="4"/>
    </row>
    <row r="48" spans="1:14" x14ac:dyDescent="0.25">
      <c r="A48" s="1">
        <v>45077</v>
      </c>
      <c r="B48">
        <v>62</v>
      </c>
      <c r="C48" s="5">
        <v>20990</v>
      </c>
      <c r="D48">
        <v>2017</v>
      </c>
      <c r="E48" t="s">
        <v>33</v>
      </c>
      <c r="F48" t="s">
        <v>7</v>
      </c>
      <c r="G48">
        <v>92000</v>
      </c>
      <c r="H48" s="4">
        <f>Table13[[#This Row],[Price]]/Table13[[#This Row],[Mileage]]</f>
        <v>0.22815217391304349</v>
      </c>
      <c r="I48" s="3">
        <f ca="1">Table13[[#This Row],[Price]]/Table13[[#This Row],[Age]]</f>
        <v>3498.3333333333335</v>
      </c>
      <c r="J48">
        <f ca="1">IF(YEAR(TODAY())=Table13[[#This Row],[year]],0.8,YEAR(TODAY())-Table13[[#This Row],[year]])</f>
        <v>6</v>
      </c>
      <c r="K4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1.088      1,857</v>
      </c>
      <c r="L48" s="4">
        <f t="array" aca="1" ref="L48" ca="1">EXP(INDEX(LINEST(LN(Table13[Price]),Table13[Age]),1,2))*EXP(INDEX(LINEST(LN(Table13[Price]),Table13[Age]),1,1)*Table13[[#This Row],[Age]])/Table13[[#This Row],[Price]]</f>
        <v>0.88831608208184665</v>
      </c>
      <c r="M48" s="4">
        <f ca="1">Table13[[#This Row],[Column1]]*VALUE(SUBSTITUTE(LEFT(Table13[[#This Row],[normal price/real milage]],3),",",""))</f>
        <v>0.88831608208184665</v>
      </c>
      <c r="N48" s="4"/>
    </row>
    <row r="49" spans="1:14" x14ac:dyDescent="0.25">
      <c r="A49" s="1">
        <v>45077</v>
      </c>
      <c r="B49">
        <v>86</v>
      </c>
      <c r="C49" s="5">
        <v>24999</v>
      </c>
      <c r="D49">
        <v>2019</v>
      </c>
      <c r="E49" t="s">
        <v>33</v>
      </c>
      <c r="F49" t="s">
        <v>7</v>
      </c>
      <c r="G49">
        <v>79000</v>
      </c>
      <c r="H49" s="4">
        <f>Table13[[#This Row],[Price]]/Table13[[#This Row],[Mileage]]</f>
        <v>0.31644303797468354</v>
      </c>
      <c r="I49" s="3">
        <f ca="1">Table13[[#This Row],[Price]]/Table13[[#This Row],[Age]]</f>
        <v>6249.75</v>
      </c>
      <c r="J49">
        <f ca="1">IF(YEAR(TODAY())=Table13[[#This Row],[year]],0.8,YEAR(TODAY())-Table13[[#This Row],[year]])</f>
        <v>4</v>
      </c>
      <c r="K4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0.984      -407</v>
      </c>
      <c r="L49" s="4">
        <f t="array" aca="1" ref="L49" ca="1">EXP(INDEX(LINEST(LN(Table13[Price]),Table13[Age]),1,2))*EXP(INDEX(LINEST(LN(Table13[Price]),Table13[Age]),1,1)*Table13[[#This Row],[Age]])/Table13[[#This Row],[Price]]</f>
        <v>0.97816094718146118</v>
      </c>
      <c r="M49" s="4">
        <f ca="1">Table13[[#This Row],[Column1]]*VALUE(SUBSTITUTE(LEFT(Table13[[#This Row],[normal price/real milage]],3),",",""))</f>
        <v>0.88034485246331506</v>
      </c>
      <c r="N49" s="4"/>
    </row>
    <row r="50" spans="1:14" x14ac:dyDescent="0.25">
      <c r="A50" s="1">
        <v>45077</v>
      </c>
      <c r="B50">
        <v>59</v>
      </c>
      <c r="C50" s="5">
        <v>38723</v>
      </c>
      <c r="D50">
        <v>2023</v>
      </c>
      <c r="E50" t="s">
        <v>33</v>
      </c>
      <c r="F50" t="s">
        <v>7</v>
      </c>
      <c r="G50">
        <v>910</v>
      </c>
      <c r="H50" s="4">
        <f>Table13[[#This Row],[Price]]/Table13[[#This Row],[Mileage]]</f>
        <v>42.552747252747253</v>
      </c>
      <c r="I50" s="3">
        <f ca="1">Table13[[#This Row],[Price]]/Table13[[#This Row],[Age]]</f>
        <v>48403.75</v>
      </c>
      <c r="J50">
        <f ca="1">IF(YEAR(TODAY())=Table13[[#This Row],[year]],0.8,YEAR(TODAY())-Table13[[#This Row],[year]])</f>
        <v>0.8</v>
      </c>
      <c r="K5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0.906      -3,645</v>
      </c>
      <c r="L50" s="4">
        <f t="array" aca="1" ref="L50" ca="1">EXP(INDEX(LINEST(LN(Table13[Price]),Table13[Age]),1,2))*EXP(INDEX(LINEST(LN(Table13[Price]),Table13[Age]),1,1)*Table13[[#This Row],[Age]])/Table13[[#This Row],[Price]]</f>
        <v>0.97447061816152658</v>
      </c>
      <c r="M50" s="4">
        <f ca="1">Table13[[#This Row],[Column1]]*VALUE(SUBSTITUTE(LEFT(Table13[[#This Row],[normal price/real milage]],3),",",""))</f>
        <v>0.87702355634537399</v>
      </c>
      <c r="N50" s="4"/>
    </row>
    <row r="51" spans="1:14" x14ac:dyDescent="0.25">
      <c r="A51" s="1">
        <v>45077</v>
      </c>
      <c r="B51">
        <v>38</v>
      </c>
      <c r="C51" s="5">
        <v>38811</v>
      </c>
      <c r="D51">
        <v>2023</v>
      </c>
      <c r="E51" t="s">
        <v>46</v>
      </c>
      <c r="F51" t="s">
        <v>9</v>
      </c>
      <c r="G51">
        <v>302</v>
      </c>
      <c r="H51" s="4">
        <f>Table13[[#This Row],[Price]]/Table13[[#This Row],[Mileage]]</f>
        <v>128.51324503311258</v>
      </c>
      <c r="I51" s="3">
        <f ca="1">Table13[[#This Row],[Price]]/Table13[[#This Row],[Age]]</f>
        <v>48513.75</v>
      </c>
      <c r="J51">
        <f ca="1">IF(YEAR(TODAY())=Table13[[#This Row],[year]],0.8,YEAR(TODAY())-Table13[[#This Row],[year]])</f>
        <v>0.8</v>
      </c>
      <c r="K5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0.906      -3,652</v>
      </c>
      <c r="L51" s="4">
        <f t="array" aca="1" ref="L51" ca="1">EXP(INDEX(LINEST(LN(Table13[Price]),Table13[Age]),1,2))*EXP(INDEX(LINEST(LN(Table13[Price]),Table13[Age]),1,1)*Table13[[#This Row],[Age]])/Table13[[#This Row],[Price]]</f>
        <v>0.97226110502354479</v>
      </c>
      <c r="M51" s="4">
        <f ca="1">Table13[[#This Row],[Column1]]*VALUE(SUBSTITUTE(LEFT(Table13[[#This Row],[normal price/real milage]],3),",",""))</f>
        <v>0.87503499452119038</v>
      </c>
      <c r="N51" s="4"/>
    </row>
    <row r="52" spans="1:14" x14ac:dyDescent="0.25">
      <c r="A52" s="1">
        <v>45077</v>
      </c>
      <c r="B52">
        <v>23</v>
      </c>
      <c r="C52" s="5">
        <v>32995</v>
      </c>
      <c r="D52">
        <v>2021</v>
      </c>
      <c r="E52" t="s">
        <v>33</v>
      </c>
      <c r="F52" t="s">
        <v>9</v>
      </c>
      <c r="G52">
        <v>20000</v>
      </c>
      <c r="H52" s="4">
        <f>Table13[[#This Row],[Price]]/Table13[[#This Row],[Mileage]]</f>
        <v>1.64975</v>
      </c>
      <c r="I52" s="3">
        <f ca="1">Table13[[#This Row],[Price]]/Table13[[#This Row],[Age]]</f>
        <v>16497.5</v>
      </c>
      <c r="J52">
        <f ca="1">IF(YEAR(TODAY())=Table13[[#This Row],[year]],0.8,YEAR(TODAY())-Table13[[#This Row],[year]])</f>
        <v>2</v>
      </c>
      <c r="K5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0.985      -481</v>
      </c>
      <c r="L52" s="4">
        <f t="array" aca="1" ref="L52" ca="1">EXP(INDEX(LINEST(LN(Table13[Price]),Table13[Age]),1,2))*EXP(INDEX(LINEST(LN(Table13[Price]),Table13[Age]),1,1)*Table13[[#This Row],[Age]])/Table13[[#This Row],[Price]]</f>
        <v>0.97193633160489312</v>
      </c>
      <c r="M52" s="4">
        <f ca="1">Table13[[#This Row],[Column1]]*VALUE(SUBSTITUTE(LEFT(Table13[[#This Row],[normal price/real milage]],3),",",""))</f>
        <v>0.87474269844440378</v>
      </c>
      <c r="N52" s="4"/>
    </row>
    <row r="53" spans="1:14" x14ac:dyDescent="0.25">
      <c r="A53" s="1">
        <v>45077</v>
      </c>
      <c r="B53">
        <v>45</v>
      </c>
      <c r="C53" s="5">
        <v>21988</v>
      </c>
      <c r="D53">
        <v>2018</v>
      </c>
      <c r="E53" t="s">
        <v>45</v>
      </c>
      <c r="F53" t="s">
        <v>1</v>
      </c>
      <c r="G53">
        <v>107000</v>
      </c>
      <c r="H53" s="4">
        <f>Table13[[#This Row],[Price]]/Table13[[#This Row],[Mileage]]</f>
        <v>0.20549532710280374</v>
      </c>
      <c r="I53" s="3">
        <f ca="1">Table13[[#This Row],[Price]]/Table13[[#This Row],[Age]]</f>
        <v>4397.6000000000004</v>
      </c>
      <c r="J53">
        <f ca="1">IF(YEAR(TODAY())=Table13[[#This Row],[year]],0.8,YEAR(TODAY())-Table13[[#This Row],[year]])</f>
        <v>5</v>
      </c>
      <c r="K5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0.947      -1,155</v>
      </c>
      <c r="L53" s="4">
        <f t="array" aca="1" ref="L53" ca="1">EXP(INDEX(LINEST(LN(Table13[Price]),Table13[Age]),1,2))*EXP(INDEX(LINEST(LN(Table13[Price]),Table13[Age]),1,1)*Table13[[#This Row],[Age]])/Table13[[#This Row],[Price]]</f>
        <v>0.97111515453019759</v>
      </c>
      <c r="M53" s="4">
        <f ca="1">Table13[[#This Row],[Column1]]*VALUE(SUBSTITUTE(LEFT(Table13[[#This Row],[normal price/real milage]],3),",",""))</f>
        <v>0.87400363907717782</v>
      </c>
      <c r="N53" s="4"/>
    </row>
    <row r="54" spans="1:14" x14ac:dyDescent="0.25">
      <c r="A54" s="1">
        <v>45077</v>
      </c>
      <c r="B54">
        <v>21</v>
      </c>
      <c r="C54" s="5">
        <v>33697</v>
      </c>
      <c r="D54">
        <v>2022</v>
      </c>
      <c r="E54" t="s">
        <v>33</v>
      </c>
      <c r="F54" t="s">
        <v>9</v>
      </c>
      <c r="G54">
        <v>54000</v>
      </c>
      <c r="H54" s="4">
        <f>Table13[[#This Row],[Price]]/Table13[[#This Row],[Mileage]]</f>
        <v>0.62401851851851853</v>
      </c>
      <c r="I54" s="3">
        <f ca="1">Table13[[#This Row],[Price]]/Table13[[#This Row],[Age]]</f>
        <v>33697</v>
      </c>
      <c r="J54">
        <f ca="1">IF(YEAR(TODAY())=Table13[[#This Row],[year]],0.8,YEAR(TODAY())-Table13[[#This Row],[year]])</f>
        <v>1</v>
      </c>
      <c r="K5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0.829      -5,748</v>
      </c>
      <c r="L54" s="4">
        <f t="array" aca="1" ref="L54" ca="1">EXP(INDEX(LINEST(LN(Table13[Price]),Table13[Age]),1,2))*EXP(INDEX(LINEST(LN(Table13[Price]),Table13[Age]),1,1)*Table13[[#This Row],[Age]])/Table13[[#This Row],[Price]]</f>
        <v>1.0898612410041628</v>
      </c>
      <c r="M54" s="4">
        <f ca="1">Table13[[#This Row],[Column1]]*VALUE(SUBSTITUTE(LEFT(Table13[[#This Row],[normal price/real milage]],3),",",""))</f>
        <v>0.87188899280333032</v>
      </c>
      <c r="N54" s="4"/>
    </row>
    <row r="55" spans="1:14" x14ac:dyDescent="0.25">
      <c r="A55" s="1">
        <v>45077</v>
      </c>
      <c r="B55">
        <v>35</v>
      </c>
      <c r="C55" s="5">
        <v>17500</v>
      </c>
      <c r="D55">
        <v>2017</v>
      </c>
      <c r="E55" t="s">
        <v>33</v>
      </c>
      <c r="F55" t="s">
        <v>42</v>
      </c>
      <c r="G55">
        <v>147000</v>
      </c>
      <c r="H55" s="4">
        <f>Table13[[#This Row],[Price]]/Table13[[#This Row],[Mileage]]</f>
        <v>0.11904761904761904</v>
      </c>
      <c r="I55" s="3">
        <f ca="1">Table13[[#This Row],[Price]]/Table13[[#This Row],[Age]]</f>
        <v>2916.6666666666665</v>
      </c>
      <c r="J55">
        <f ca="1">IF(YEAR(TODAY())=Table13[[#This Row],[year]],0.8,YEAR(TODAY())-Table13[[#This Row],[year]])</f>
        <v>6</v>
      </c>
      <c r="K5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0.884      -2,038</v>
      </c>
      <c r="L55" s="4">
        <f t="array" aca="1" ref="L55" ca="1">EXP(INDEX(LINEST(LN(Table13[Price]),Table13[Age]),1,2))*EXP(INDEX(LINEST(LN(Table13[Price]),Table13[Age]),1,1)*Table13[[#This Row],[Age]])/Table13[[#This Row],[Price]]</f>
        <v>1.0654716893084548</v>
      </c>
      <c r="M55" s="4">
        <f ca="1">Table13[[#This Row],[Column1]]*VALUE(SUBSTITUTE(LEFT(Table13[[#This Row],[normal price/real milage]],3),",",""))</f>
        <v>0.85237735144676385</v>
      </c>
      <c r="N55" s="4"/>
    </row>
    <row r="56" spans="1:14" x14ac:dyDescent="0.25">
      <c r="A56" s="1">
        <v>45077</v>
      </c>
      <c r="B56">
        <v>75</v>
      </c>
      <c r="C56" s="5">
        <v>35995</v>
      </c>
      <c r="D56">
        <v>2022</v>
      </c>
      <c r="E56" t="s">
        <v>58</v>
      </c>
      <c r="F56" t="s">
        <v>1</v>
      </c>
      <c r="G56">
        <v>24000</v>
      </c>
      <c r="H56" s="4">
        <f>Table13[[#This Row],[Price]]/Table13[[#This Row],[Mileage]]</f>
        <v>1.4997916666666666</v>
      </c>
      <c r="I56" s="3">
        <f ca="1">Table13[[#This Row],[Price]]/Table13[[#This Row],[Age]]</f>
        <v>35995</v>
      </c>
      <c r="J56">
        <f ca="1">IF(YEAR(TODAY())=Table13[[#This Row],[year]],0.8,YEAR(TODAY())-Table13[[#This Row],[year]])</f>
        <v>1</v>
      </c>
      <c r="K5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0.888      -4,018</v>
      </c>
      <c r="L56" s="4">
        <f t="array" aca="1" ref="L56" ca="1">EXP(INDEX(LINEST(LN(Table13[Price]),Table13[Age]),1,2))*EXP(INDEX(LINEST(LN(Table13[Price]),Table13[Age]),1,1)*Table13[[#This Row],[Age]])/Table13[[#This Row],[Price]]</f>
        <v>1.0202821013506675</v>
      </c>
      <c r="M56" s="4">
        <f ca="1">Table13[[#This Row],[Column1]]*VALUE(SUBSTITUTE(LEFT(Table13[[#This Row],[normal price/real milage]],3),",",""))</f>
        <v>0.81622568108053406</v>
      </c>
      <c r="N56" s="4"/>
    </row>
    <row r="57" spans="1:14" x14ac:dyDescent="0.25">
      <c r="A57" s="1">
        <v>45077</v>
      </c>
      <c r="B57">
        <v>32</v>
      </c>
      <c r="C57" s="5">
        <v>31995</v>
      </c>
      <c r="D57">
        <v>2021</v>
      </c>
      <c r="E57" t="s">
        <v>33</v>
      </c>
      <c r="F57" t="s">
        <v>2</v>
      </c>
      <c r="G57">
        <v>51000</v>
      </c>
      <c r="H57" s="4">
        <f>Table13[[#This Row],[Price]]/Table13[[#This Row],[Mileage]]</f>
        <v>0.62735294117647056</v>
      </c>
      <c r="I57" s="3">
        <f ca="1">Table13[[#This Row],[Price]]/Table13[[#This Row],[Age]]</f>
        <v>15997.5</v>
      </c>
      <c r="J57">
        <f ca="1">IF(YEAR(TODAY())=Table13[[#This Row],[year]],0.8,YEAR(TODAY())-Table13[[#This Row],[year]])</f>
        <v>2</v>
      </c>
      <c r="K5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0.886      -3,643</v>
      </c>
      <c r="L57" s="4">
        <f t="array" aca="1" ref="L57" ca="1">EXP(INDEX(LINEST(LN(Table13[Price]),Table13[Age]),1,2))*EXP(INDEX(LINEST(LN(Table13[Price]),Table13[Age]),1,1)*Table13[[#This Row],[Age]])/Table13[[#This Row],[Price]]</f>
        <v>1.0023140884920596</v>
      </c>
      <c r="M57" s="4">
        <f ca="1">Table13[[#This Row],[Column1]]*VALUE(SUBSTITUTE(LEFT(Table13[[#This Row],[normal price/real milage]],3),",",""))</f>
        <v>0.80185127079364771</v>
      </c>
      <c r="N57" s="4"/>
    </row>
    <row r="58" spans="1:14" x14ac:dyDescent="0.25">
      <c r="A58" s="1">
        <v>45077</v>
      </c>
      <c r="B58">
        <v>12</v>
      </c>
      <c r="C58" s="5">
        <v>32489</v>
      </c>
      <c r="D58">
        <v>2021</v>
      </c>
      <c r="E58" t="s">
        <v>37</v>
      </c>
      <c r="F58" t="s">
        <v>9</v>
      </c>
      <c r="G58">
        <v>45000</v>
      </c>
      <c r="H58" s="4">
        <f>Table13[[#This Row],[Price]]/Table13[[#This Row],[Mileage]]</f>
        <v>0.72197777777777783</v>
      </c>
      <c r="I58" s="3">
        <f ca="1">Table13[[#This Row],[Price]]/Table13[[#This Row],[Age]]</f>
        <v>16244.5</v>
      </c>
      <c r="J58">
        <f ca="1">IF(YEAR(TODAY())=Table13[[#This Row],[year]],0.8,YEAR(TODAY())-Table13[[#This Row],[year]])</f>
        <v>2</v>
      </c>
      <c r="K5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0.897      -3,331</v>
      </c>
      <c r="L58" s="4">
        <f t="array" aca="1" ref="L58" ca="1">EXP(INDEX(LINEST(LN(Table13[Price]),Table13[Age]),1,2))*EXP(INDEX(LINEST(LN(Table13[Price]),Table13[Age]),1,1)*Table13[[#This Row],[Age]])/Table13[[#This Row],[Price]]</f>
        <v>0.98707375608062575</v>
      </c>
      <c r="M58" s="4">
        <f ca="1">Table13[[#This Row],[Column1]]*VALUE(SUBSTITUTE(LEFT(Table13[[#This Row],[normal price/real milage]],3),",",""))</f>
        <v>0.78965900486450069</v>
      </c>
      <c r="N58" s="4"/>
    </row>
    <row r="59" spans="1:14" x14ac:dyDescent="0.25">
      <c r="A59" s="1">
        <v>45077</v>
      </c>
      <c r="B59">
        <v>34</v>
      </c>
      <c r="C59" s="5">
        <v>14299</v>
      </c>
      <c r="D59">
        <v>2017</v>
      </c>
      <c r="E59" t="s">
        <v>33</v>
      </c>
      <c r="F59" t="s">
        <v>1</v>
      </c>
      <c r="G59">
        <v>196000</v>
      </c>
      <c r="H59" s="4">
        <f>Table13[[#This Row],[Price]]/Table13[[#This Row],[Mileage]]</f>
        <v>7.2954081632653059E-2</v>
      </c>
      <c r="I59" s="3">
        <f ca="1">Table13[[#This Row],[Price]]/Table13[[#This Row],[Age]]</f>
        <v>2383.1666666666665</v>
      </c>
      <c r="J59">
        <f ca="1">IF(YEAR(TODAY())=Table13[[#This Row],[year]],0.8,YEAR(TODAY())-Table13[[#This Row],[year]])</f>
        <v>6</v>
      </c>
      <c r="K5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0.621      -5,416</v>
      </c>
      <c r="L59" s="4">
        <f t="array" aca="1" ref="L59" ca="1">EXP(INDEX(LINEST(LN(Table13[Price]),Table13[Age]),1,2))*EXP(INDEX(LINEST(LN(Table13[Price]),Table13[Age]),1,1)*Table13[[#This Row],[Age]])/Table13[[#This Row],[Price]]</f>
        <v>1.3039901086018575</v>
      </c>
      <c r="M59" s="4">
        <f ca="1">Table13[[#This Row],[Column1]]*VALUE(SUBSTITUTE(LEFT(Table13[[#This Row],[normal price/real milage]],3),",",""))</f>
        <v>0.78239406516111443</v>
      </c>
      <c r="N59" s="4"/>
    </row>
    <row r="60" spans="1:14" x14ac:dyDescent="0.25">
      <c r="A60" s="1">
        <v>45077</v>
      </c>
      <c r="B60">
        <v>78</v>
      </c>
      <c r="C60" s="5">
        <v>20900</v>
      </c>
      <c r="D60">
        <v>2016</v>
      </c>
      <c r="E60" t="s">
        <v>33</v>
      </c>
      <c r="F60" t="s">
        <v>1</v>
      </c>
      <c r="G60">
        <v>100000</v>
      </c>
      <c r="H60" s="4">
        <f>Table13[[#This Row],[Price]]/Table13[[#This Row],[Mileage]]</f>
        <v>0.20899999999999999</v>
      </c>
      <c r="I60" s="3">
        <f ca="1">Table13[[#This Row],[Price]]/Table13[[#This Row],[Age]]</f>
        <v>2985.7142857142858</v>
      </c>
      <c r="J60">
        <f ca="1">IF(YEAR(TODAY())=Table13[[#This Row],[year]],0.8,YEAR(TODAY())-Table13[[#This Row],[year]])</f>
        <v>7</v>
      </c>
      <c r="K6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1.042      873</v>
      </c>
      <c r="L60" s="4">
        <f t="array" aca="1" ref="L60" ca="1">EXP(INDEX(LINEST(LN(Table13[Price]),Table13[Age]),1,2))*EXP(INDEX(LINEST(LN(Table13[Price]),Table13[Age]),1,1)*Table13[[#This Row],[Age]])/Table13[[#This Row],[Price]]</f>
        <v>0.77903537808539169</v>
      </c>
      <c r="M60" s="4">
        <f ca="1">Table13[[#This Row],[Column1]]*VALUE(SUBSTITUTE(LEFT(Table13[[#This Row],[normal price/real milage]],3),",",""))</f>
        <v>0.77903537808539169</v>
      </c>
      <c r="N60" s="4"/>
    </row>
    <row r="61" spans="1:14" x14ac:dyDescent="0.25">
      <c r="A61" s="1">
        <v>45077</v>
      </c>
      <c r="B61">
        <v>72</v>
      </c>
      <c r="C61" s="5">
        <v>23998</v>
      </c>
      <c r="D61">
        <v>2017</v>
      </c>
      <c r="E61" t="s">
        <v>33</v>
      </c>
      <c r="F61" t="s">
        <v>12</v>
      </c>
      <c r="G61">
        <v>74000</v>
      </c>
      <c r="H61" s="4">
        <f>Table13[[#This Row],[Price]]/Table13[[#This Row],[Mileage]]</f>
        <v>0.32429729729729728</v>
      </c>
      <c r="I61" s="3">
        <f ca="1">Table13[[#This Row],[Price]]/Table13[[#This Row],[Age]]</f>
        <v>3999.6666666666665</v>
      </c>
      <c r="J61">
        <f ca="1">IF(YEAR(TODAY())=Table13[[#This Row],[year]],0.8,YEAR(TODAY())-Table13[[#This Row],[year]])</f>
        <v>6</v>
      </c>
      <c r="K6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1.053      1,266</v>
      </c>
      <c r="L61" s="4">
        <f t="array" aca="1" ref="L61" ca="1">EXP(INDEX(LINEST(LN(Table13[Price]),Table13[Age]),1,2))*EXP(INDEX(LINEST(LN(Table13[Price]),Table13[Age]),1,1)*Table13[[#This Row],[Age]])/Table13[[#This Row],[Price]]</f>
        <v>0.77697118771972495</v>
      </c>
      <c r="M61" s="4">
        <f ca="1">Table13[[#This Row],[Column1]]*VALUE(SUBSTITUTE(LEFT(Table13[[#This Row],[normal price/real milage]],3),",",""))</f>
        <v>0.77697118771972495</v>
      </c>
      <c r="N61" s="4"/>
    </row>
    <row r="62" spans="1:14" x14ac:dyDescent="0.25">
      <c r="A62" s="1">
        <v>45077</v>
      </c>
      <c r="B62">
        <v>88</v>
      </c>
      <c r="C62" s="5">
        <v>28999</v>
      </c>
      <c r="D62">
        <v>2020</v>
      </c>
      <c r="E62" t="s">
        <v>33</v>
      </c>
      <c r="F62" t="s">
        <v>7</v>
      </c>
      <c r="G62">
        <v>82000</v>
      </c>
      <c r="H62" s="4">
        <f>Table13[[#This Row],[Price]]/Table13[[#This Row],[Mileage]]</f>
        <v>0.35364634146341462</v>
      </c>
      <c r="I62" s="3">
        <f ca="1">Table13[[#This Row],[Price]]/Table13[[#This Row],[Age]]</f>
        <v>9666.3333333333339</v>
      </c>
      <c r="J62">
        <f ca="1">IF(YEAR(TODAY())=Table13[[#This Row],[year]],0.8,YEAR(TODAY())-Table13[[#This Row],[year]])</f>
        <v>3</v>
      </c>
      <c r="K6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0.834      -4,809</v>
      </c>
      <c r="L62" s="4">
        <f t="array" aca="1" ref="L62" ca="1">EXP(INDEX(LINEST(LN(Table13[Price]),Table13[Age]),1,2))*EXP(INDEX(LINEST(LN(Table13[Price]),Table13[Age]),1,1)*Table13[[#This Row],[Age]])/Table13[[#This Row],[Price]]</f>
        <v>0.96566486640044369</v>
      </c>
      <c r="M62" s="4">
        <f ca="1">Table13[[#This Row],[Column1]]*VALUE(SUBSTITUTE(LEFT(Table13[[#This Row],[normal price/real milage]],3),",",""))</f>
        <v>0.77253189312035497</v>
      </c>
      <c r="N62" s="4"/>
    </row>
    <row r="63" spans="1:14" x14ac:dyDescent="0.25">
      <c r="A63" s="1">
        <v>45077</v>
      </c>
      <c r="B63">
        <v>45</v>
      </c>
      <c r="C63" s="5">
        <v>40099</v>
      </c>
      <c r="D63">
        <v>2023</v>
      </c>
      <c r="E63" t="s">
        <v>47</v>
      </c>
      <c r="F63" t="s">
        <v>1</v>
      </c>
      <c r="G63">
        <v>300</v>
      </c>
      <c r="H63" s="4">
        <f>Table13[[#This Row],[Price]]/Table13[[#This Row],[Mileage]]</f>
        <v>133.66333333333333</v>
      </c>
      <c r="I63" s="3">
        <f ca="1">Table13[[#This Row],[Price]]/Table13[[#This Row],[Age]]</f>
        <v>50123.75</v>
      </c>
      <c r="J63">
        <f ca="1">IF(YEAR(TODAY())=Table13[[#This Row],[year]],0.8,YEAR(TODAY())-Table13[[#This Row],[year]])</f>
        <v>0.8</v>
      </c>
      <c r="K6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0.877      -4,940</v>
      </c>
      <c r="L63" s="4">
        <f t="array" aca="1" ref="L63" ca="1">EXP(INDEX(LINEST(LN(Table13[Price]),Table13[Age]),1,2))*EXP(INDEX(LINEST(LN(Table13[Price]),Table13[Age]),1,1)*Table13[[#This Row],[Age]])/Table13[[#This Row],[Price]]</f>
        <v>0.94103159049025653</v>
      </c>
      <c r="M63" s="4">
        <f ca="1">Table13[[#This Row],[Column1]]*VALUE(SUBSTITUTE(LEFT(Table13[[#This Row],[normal price/real milage]],3),",",""))</f>
        <v>0.75282527239220531</v>
      </c>
      <c r="N63" s="4"/>
    </row>
    <row r="64" spans="1:14" x14ac:dyDescent="0.25">
      <c r="A64" s="1">
        <v>45077</v>
      </c>
      <c r="B64">
        <v>80</v>
      </c>
      <c r="C64" s="5">
        <v>41138</v>
      </c>
      <c r="D64">
        <v>2023</v>
      </c>
      <c r="E64" t="s">
        <v>60</v>
      </c>
      <c r="F64" t="s">
        <v>1</v>
      </c>
      <c r="G64">
        <v>300</v>
      </c>
      <c r="H64" s="4">
        <f>Table13[[#This Row],[Price]]/Table13[[#This Row],[Mileage]]</f>
        <v>137.12666666666667</v>
      </c>
      <c r="I64" s="3">
        <f ca="1">Table13[[#This Row],[Price]]/Table13[[#This Row],[Age]]</f>
        <v>51422.5</v>
      </c>
      <c r="J64">
        <f ca="1">IF(YEAR(TODAY())=Table13[[#This Row],[year]],0.8,YEAR(TODAY())-Table13[[#This Row],[year]])</f>
        <v>0.8</v>
      </c>
      <c r="K6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0.855      -5,979</v>
      </c>
      <c r="L64" s="4">
        <f t="array" aca="1" ref="L64" ca="1">EXP(INDEX(LINEST(LN(Table13[Price]),Table13[Age]),1,2))*EXP(INDEX(LINEST(LN(Table13[Price]),Table13[Age]),1,1)*Table13[[#This Row],[Age]])/Table13[[#This Row],[Price]]</f>
        <v>0.91726446951890694</v>
      </c>
      <c r="M64" s="4">
        <f ca="1">Table13[[#This Row],[Column1]]*VALUE(SUBSTITUTE(LEFT(Table13[[#This Row],[normal price/real milage]],3),",",""))</f>
        <v>0.73381157561512556</v>
      </c>
      <c r="N64" s="4"/>
    </row>
    <row r="65" spans="1:14" x14ac:dyDescent="0.25">
      <c r="A65" s="1">
        <v>45077</v>
      </c>
      <c r="B65">
        <v>71</v>
      </c>
      <c r="C65" s="5">
        <v>41281</v>
      </c>
      <c r="D65">
        <v>2023</v>
      </c>
      <c r="E65" t="s">
        <v>56</v>
      </c>
      <c r="F65" t="s">
        <v>1</v>
      </c>
      <c r="G65">
        <v>300</v>
      </c>
      <c r="H65" s="4">
        <f>Table13[[#This Row],[Price]]/Table13[[#This Row],[Mileage]]</f>
        <v>137.60333333333332</v>
      </c>
      <c r="I65" s="3">
        <f ca="1">Table13[[#This Row],[Price]]/Table13[[#This Row],[Age]]</f>
        <v>51601.25</v>
      </c>
      <c r="J65">
        <f ca="1">IF(YEAR(TODAY())=Table13[[#This Row],[year]],0.8,YEAR(TODAY())-Table13[[#This Row],[year]])</f>
        <v>0.8</v>
      </c>
      <c r="K6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0.852      -6,122</v>
      </c>
      <c r="L65" s="4">
        <f t="array" aca="1" ref="L65" ca="1">EXP(INDEX(LINEST(LN(Table13[Price]),Table13[Age]),1,2))*EXP(INDEX(LINEST(LN(Table13[Price]),Table13[Age]),1,1)*Table13[[#This Row],[Age]])/Table13[[#This Row],[Price]]</f>
        <v>0.91408700726893233</v>
      </c>
      <c r="M65" s="4">
        <f ca="1">Table13[[#This Row],[Column1]]*VALUE(SUBSTITUTE(LEFT(Table13[[#This Row],[normal price/real milage]],3),",",""))</f>
        <v>0.73126960581514588</v>
      </c>
      <c r="N65" s="4"/>
    </row>
    <row r="66" spans="1:14" x14ac:dyDescent="0.25">
      <c r="A66" s="1">
        <v>45077</v>
      </c>
      <c r="B66">
        <v>81</v>
      </c>
      <c r="C66" s="5">
        <v>41388</v>
      </c>
      <c r="D66">
        <v>2023</v>
      </c>
      <c r="E66" t="s">
        <v>56</v>
      </c>
      <c r="F66" t="s">
        <v>7</v>
      </c>
      <c r="G66">
        <v>300</v>
      </c>
      <c r="H66" s="4">
        <f>Table13[[#This Row],[Price]]/Table13[[#This Row],[Mileage]]</f>
        <v>137.96</v>
      </c>
      <c r="I66" s="3">
        <f ca="1">Table13[[#This Row],[Price]]/Table13[[#This Row],[Age]]</f>
        <v>51735</v>
      </c>
      <c r="J66">
        <f ca="1">IF(YEAR(TODAY())=Table13[[#This Row],[year]],0.8,YEAR(TODAY())-Table13[[#This Row],[year]])</f>
        <v>0.8</v>
      </c>
      <c r="K6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0.850      -6,229</v>
      </c>
      <c r="L66" s="4">
        <f t="array" aca="1" ref="L66" ca="1">EXP(INDEX(LINEST(LN(Table13[Price]),Table13[Age]),1,2))*EXP(INDEX(LINEST(LN(Table13[Price]),Table13[Age]),1,1)*Table13[[#This Row],[Age]])/Table13[[#This Row],[Price]]</f>
        <v>0.91172382688385023</v>
      </c>
      <c r="M66" s="4">
        <f ca="1">Table13[[#This Row],[Column1]]*VALUE(SUBSTITUTE(LEFT(Table13[[#This Row],[normal price/real milage]],3),",",""))</f>
        <v>0.72937906150708021</v>
      </c>
      <c r="N66" s="4"/>
    </row>
    <row r="67" spans="1:14" x14ac:dyDescent="0.25">
      <c r="A67" s="1">
        <v>45077</v>
      </c>
      <c r="B67">
        <v>10</v>
      </c>
      <c r="C67" s="5">
        <v>24999</v>
      </c>
      <c r="D67">
        <v>2016</v>
      </c>
      <c r="E67" t="s">
        <v>33</v>
      </c>
      <c r="F67" t="s">
        <v>1</v>
      </c>
      <c r="G67">
        <v>52000</v>
      </c>
      <c r="H67" s="4">
        <f>Table13[[#This Row],[Price]]/Table13[[#This Row],[Mileage]]</f>
        <v>0.48075000000000001</v>
      </c>
      <c r="I67" s="3">
        <f ca="1">Table13[[#This Row],[Price]]/Table13[[#This Row],[Age]]</f>
        <v>3571.2857142857142</v>
      </c>
      <c r="J67">
        <f ca="1">IF(YEAR(TODAY())=Table13[[#This Row],[year]],0.8,YEAR(TODAY())-Table13[[#This Row],[year]])</f>
        <v>7</v>
      </c>
      <c r="K6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1.129      3,219</v>
      </c>
      <c r="L67" s="4">
        <f t="array" aca="1" ref="L67" ca="1">EXP(INDEX(LINEST(LN(Table13[Price]),Table13[Age]),1,2))*EXP(INDEX(LINEST(LN(Table13[Price]),Table13[Age]),1,1)*Table13[[#This Row],[Age]])/Table13[[#This Row],[Price]]</f>
        <v>0.65129962806451003</v>
      </c>
      <c r="M67" s="4">
        <f ca="1">Table13[[#This Row],[Column1]]*VALUE(SUBSTITUTE(LEFT(Table13[[#This Row],[normal price/real milage]],3),",",""))</f>
        <v>0.71642959087096114</v>
      </c>
      <c r="N67" s="4"/>
    </row>
    <row r="68" spans="1:14" x14ac:dyDescent="0.25">
      <c r="A68" s="1">
        <v>45077</v>
      </c>
      <c r="B68">
        <v>36</v>
      </c>
      <c r="C68" s="5">
        <v>18000</v>
      </c>
      <c r="D68">
        <v>2015</v>
      </c>
      <c r="E68" t="s">
        <v>33</v>
      </c>
      <c r="F68" t="s">
        <v>9</v>
      </c>
      <c r="G68">
        <v>139000</v>
      </c>
      <c r="H68" s="4">
        <f>Table13[[#This Row],[Price]]/Table13[[#This Row],[Mileage]]</f>
        <v>0.12949640287769784</v>
      </c>
      <c r="I68" s="3">
        <f ca="1">Table13[[#This Row],[Price]]/Table13[[#This Row],[Age]]</f>
        <v>2250</v>
      </c>
      <c r="J68">
        <f ca="1">IF(YEAR(TODAY())=Table13[[#This Row],[year]],0.8,YEAR(TODAY())-Table13[[#This Row],[year]])</f>
        <v>8</v>
      </c>
      <c r="K6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0.919      -1,464</v>
      </c>
      <c r="L68" s="4">
        <f t="array" aca="1" ref="L68" ca="1">EXP(INDEX(LINEST(LN(Table13[Price]),Table13[Age]),1,2))*EXP(INDEX(LINEST(LN(Table13[Price]),Table13[Age]),1,1)*Table13[[#This Row],[Age]])/Table13[[#This Row],[Price]]</f>
        <v>0.78986790090223646</v>
      </c>
      <c r="M68" s="4">
        <f ca="1">Table13[[#This Row],[Column1]]*VALUE(SUBSTITUTE(LEFT(Table13[[#This Row],[normal price/real milage]],3),",",""))</f>
        <v>0.71088111081201288</v>
      </c>
      <c r="N68" s="4"/>
    </row>
    <row r="69" spans="1:14" x14ac:dyDescent="0.25">
      <c r="A69" s="1">
        <v>45077</v>
      </c>
      <c r="B69">
        <v>74</v>
      </c>
      <c r="C69" s="5">
        <v>42973</v>
      </c>
      <c r="D69">
        <v>2023</v>
      </c>
      <c r="E69" t="s">
        <v>57</v>
      </c>
      <c r="F69" t="s">
        <v>7</v>
      </c>
      <c r="G69">
        <v>910</v>
      </c>
      <c r="H69" s="4">
        <f>Table13[[#This Row],[Price]]/Table13[[#This Row],[Mileage]]</f>
        <v>47.223076923076924</v>
      </c>
      <c r="I69" s="3">
        <f ca="1">Table13[[#This Row],[Price]]/Table13[[#This Row],[Age]]</f>
        <v>53716.25</v>
      </c>
      <c r="J69">
        <f ca="1">IF(YEAR(TODAY())=Table13[[#This Row],[year]],0.8,YEAR(TODAY())-Table13[[#This Row],[year]])</f>
        <v>0.8</v>
      </c>
      <c r="K6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0.816      -7,895</v>
      </c>
      <c r="L69" s="4">
        <f t="array" aca="1" ref="L69" ca="1">EXP(INDEX(LINEST(LN(Table13[Price]),Table13[Age]),1,2))*EXP(INDEX(LINEST(LN(Table13[Price]),Table13[Age]),1,1)*Table13[[#This Row],[Age]])/Table13[[#This Row],[Price]]</f>
        <v>0.87809614751282883</v>
      </c>
      <c r="M69" s="4">
        <f ca="1">Table13[[#This Row],[Column1]]*VALUE(SUBSTITUTE(LEFT(Table13[[#This Row],[normal price/real milage]],3),",",""))</f>
        <v>0.70247691801026313</v>
      </c>
      <c r="N69" s="4"/>
    </row>
    <row r="70" spans="1:14" x14ac:dyDescent="0.25">
      <c r="A70" s="1">
        <v>45077</v>
      </c>
      <c r="B70">
        <v>21</v>
      </c>
      <c r="C70" s="5">
        <v>42988</v>
      </c>
      <c r="D70">
        <v>2023</v>
      </c>
      <c r="E70" t="s">
        <v>44</v>
      </c>
      <c r="F70" t="s">
        <v>7</v>
      </c>
      <c r="G70">
        <v>300</v>
      </c>
      <c r="H70" s="4">
        <f>Table13[[#This Row],[Price]]/Table13[[#This Row],[Mileage]]</f>
        <v>143.29333333333332</v>
      </c>
      <c r="I70" s="3">
        <f ca="1">Table13[[#This Row],[Price]]/Table13[[#This Row],[Age]]</f>
        <v>53735</v>
      </c>
      <c r="J70">
        <f ca="1">IF(YEAR(TODAY())=Table13[[#This Row],[year]],0.8,YEAR(TODAY())-Table13[[#This Row],[year]])</f>
        <v>0.8</v>
      </c>
      <c r="K7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0.818      -7,829</v>
      </c>
      <c r="L70" s="4">
        <f t="array" aca="1" ref="L70" ca="1">EXP(INDEX(LINEST(LN(Table13[Price]),Table13[Age]),1,2))*EXP(INDEX(LINEST(LN(Table13[Price]),Table13[Age]),1,1)*Table13[[#This Row],[Age]])/Table13[[#This Row],[Price]]</f>
        <v>0.87778974939678034</v>
      </c>
      <c r="M70" s="4">
        <f ca="1">Table13[[#This Row],[Column1]]*VALUE(SUBSTITUTE(LEFT(Table13[[#This Row],[normal price/real milage]],3),",",""))</f>
        <v>0.70223179951742432</v>
      </c>
      <c r="N70" s="4"/>
    </row>
    <row r="71" spans="1:14" x14ac:dyDescent="0.25">
      <c r="A71" s="1">
        <v>45077</v>
      </c>
      <c r="B71">
        <v>66</v>
      </c>
      <c r="C71" s="5">
        <v>42988</v>
      </c>
      <c r="D71">
        <v>2023</v>
      </c>
      <c r="E71" t="s">
        <v>55</v>
      </c>
      <c r="F71" t="s">
        <v>7</v>
      </c>
      <c r="G71">
        <v>300</v>
      </c>
      <c r="H71" s="4">
        <f>Table13[[#This Row],[Price]]/Table13[[#This Row],[Mileage]]</f>
        <v>143.29333333333332</v>
      </c>
      <c r="I71" s="3">
        <f ca="1">Table13[[#This Row],[Price]]/Table13[[#This Row],[Age]]</f>
        <v>53735</v>
      </c>
      <c r="J71">
        <f ca="1">IF(YEAR(TODAY())=Table13[[#This Row],[year]],0.8,YEAR(TODAY())-Table13[[#This Row],[year]])</f>
        <v>0.8</v>
      </c>
      <c r="K7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0.818      -7,829</v>
      </c>
      <c r="L71" s="4">
        <f t="array" aca="1" ref="L71" ca="1">EXP(INDEX(LINEST(LN(Table13[Price]),Table13[Age]),1,2))*EXP(INDEX(LINEST(LN(Table13[Price]),Table13[Age]),1,1)*Table13[[#This Row],[Age]])/Table13[[#This Row],[Price]]</f>
        <v>0.87778974939678034</v>
      </c>
      <c r="M71" s="4">
        <f ca="1">Table13[[#This Row],[Column1]]*VALUE(SUBSTITUTE(LEFT(Table13[[#This Row],[normal price/real milage]],3),",",""))</f>
        <v>0.70223179951742432</v>
      </c>
      <c r="N71" s="4"/>
    </row>
    <row r="72" spans="1:14" x14ac:dyDescent="0.25">
      <c r="A72" s="1">
        <v>45077</v>
      </c>
      <c r="B72">
        <v>49</v>
      </c>
      <c r="C72" s="5">
        <v>28500</v>
      </c>
      <c r="D72">
        <v>2019</v>
      </c>
      <c r="E72" t="s">
        <v>33</v>
      </c>
      <c r="F72" t="s">
        <v>1</v>
      </c>
      <c r="G72">
        <v>72000</v>
      </c>
      <c r="H72" s="4">
        <f>Table13[[#This Row],[Price]]/Table13[[#This Row],[Mileage]]</f>
        <v>0.39583333333333331</v>
      </c>
      <c r="I72" s="3">
        <f ca="1">Table13[[#This Row],[Price]]/Table13[[#This Row],[Age]]</f>
        <v>7125</v>
      </c>
      <c r="J72">
        <f ca="1">IF(YEAR(TODAY())=Table13[[#This Row],[year]],0.8,YEAR(TODAY())-Table13[[#This Row],[year]])</f>
        <v>4</v>
      </c>
      <c r="K7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0.896      -2,968</v>
      </c>
      <c r="L72" s="4">
        <f t="array" aca="1" ref="L72" ca="1">EXP(INDEX(LINEST(LN(Table13[Price]),Table13[Age]),1,2))*EXP(INDEX(LINEST(LN(Table13[Price]),Table13[Age]),1,1)*Table13[[#This Row],[Age]])/Table13[[#This Row],[Price]]</f>
        <v>0.85800159714348589</v>
      </c>
      <c r="M72" s="4">
        <f ca="1">Table13[[#This Row],[Column1]]*VALUE(SUBSTITUTE(LEFT(Table13[[#This Row],[normal price/real milage]],3),",",""))</f>
        <v>0.68640127771478876</v>
      </c>
      <c r="N72" s="4"/>
    </row>
    <row r="73" spans="1:14" x14ac:dyDescent="0.25">
      <c r="A73" s="1">
        <v>45077</v>
      </c>
      <c r="B73">
        <v>9</v>
      </c>
      <c r="C73" s="5">
        <v>32995</v>
      </c>
      <c r="D73">
        <v>2019</v>
      </c>
      <c r="E73" t="s">
        <v>33</v>
      </c>
      <c r="F73" t="s">
        <v>13</v>
      </c>
      <c r="G73">
        <v>30000</v>
      </c>
      <c r="H73" s="4">
        <f>Table13[[#This Row],[Price]]/Table13[[#This Row],[Mileage]]</f>
        <v>1.0998333333333334</v>
      </c>
      <c r="I73" s="3">
        <f ca="1">Table13[[#This Row],[Price]]/Table13[[#This Row],[Age]]</f>
        <v>8248.75</v>
      </c>
      <c r="J73">
        <f ca="1">IF(YEAR(TODAY())=Table13[[#This Row],[year]],0.8,YEAR(TODAY())-Table13[[#This Row],[year]])</f>
        <v>4</v>
      </c>
      <c r="K7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0.945      -1,823</v>
      </c>
      <c r="L73" s="4">
        <f t="array" aca="1" ref="L73" ca="1">EXP(INDEX(LINEST(LN(Table13[Price]),Table13[Age]),1,2))*EXP(INDEX(LINEST(LN(Table13[Price]),Table13[Age]),1,1)*Table13[[#This Row],[Age]])/Table13[[#This Row],[Price]]</f>
        <v>0.74111366930108646</v>
      </c>
      <c r="M73" s="4">
        <f ca="1">Table13[[#This Row],[Column1]]*VALUE(SUBSTITUTE(LEFT(Table13[[#This Row],[normal price/real milage]],3),",",""))</f>
        <v>0.6670023023709778</v>
      </c>
      <c r="N73" s="4"/>
    </row>
    <row r="74" spans="1:14" x14ac:dyDescent="0.25">
      <c r="A74" s="1">
        <v>45077</v>
      </c>
      <c r="B74">
        <v>42</v>
      </c>
      <c r="C74" s="5">
        <v>23995</v>
      </c>
      <c r="D74">
        <v>2019</v>
      </c>
      <c r="E74" t="s">
        <v>33</v>
      </c>
      <c r="F74" t="s">
        <v>1</v>
      </c>
      <c r="G74">
        <v>155000</v>
      </c>
      <c r="H74" s="4">
        <f>Table13[[#This Row],[Price]]/Table13[[#This Row],[Mileage]]</f>
        <v>0.15480645161290321</v>
      </c>
      <c r="I74" s="3">
        <f ca="1">Table13[[#This Row],[Price]]/Table13[[#This Row],[Age]]</f>
        <v>5998.75</v>
      </c>
      <c r="J74">
        <f ca="1">IF(YEAR(TODAY())=Table13[[#This Row],[year]],0.8,YEAR(TODAY())-Table13[[#This Row],[year]])</f>
        <v>4</v>
      </c>
      <c r="K7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0.600      -9,607</v>
      </c>
      <c r="L74" s="4">
        <f t="array" aca="1" ref="L74" ca="1">EXP(INDEX(LINEST(LN(Table13[Price]),Table13[Age]),1,2))*EXP(INDEX(LINEST(LN(Table13[Price]),Table13[Age]),1,1)*Table13[[#This Row],[Age]])/Table13[[#This Row],[Price]]</f>
        <v>1.0190892068593185</v>
      </c>
      <c r="M74" s="4">
        <f ca="1">Table13[[#This Row],[Column1]]*VALUE(SUBSTITUTE(LEFT(Table13[[#This Row],[normal price/real milage]],3),",",""))</f>
        <v>0.61145352411559106</v>
      </c>
      <c r="N74" s="4"/>
    </row>
    <row r="75" spans="1:14" x14ac:dyDescent="0.25">
      <c r="A75" s="1">
        <v>45077</v>
      </c>
      <c r="B75">
        <v>47</v>
      </c>
      <c r="C75" s="5">
        <v>13450</v>
      </c>
      <c r="D75">
        <v>2016</v>
      </c>
      <c r="E75" t="s">
        <v>33</v>
      </c>
      <c r="F75" t="s">
        <v>1</v>
      </c>
      <c r="G75">
        <v>206000</v>
      </c>
      <c r="H75" s="4">
        <f>Table13[[#This Row],[Price]]/Table13[[#This Row],[Mileage]]</f>
        <v>6.5291262135922332E-2</v>
      </c>
      <c r="I75" s="3">
        <f ca="1">Table13[[#This Row],[Price]]/Table13[[#This Row],[Age]]</f>
        <v>1921.4285714285713</v>
      </c>
      <c r="J75">
        <f ca="1">IF(YEAR(TODAY())=Table13[[#This Row],[year]],0.8,YEAR(TODAY())-Table13[[#This Row],[year]])</f>
        <v>7</v>
      </c>
      <c r="K7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0.561      -5,910</v>
      </c>
      <c r="L75" s="4">
        <f t="array" aca="1" ref="L75" ca="1">EXP(INDEX(LINEST(LN(Table13[Price]),Table13[Age]),1,2))*EXP(INDEX(LINEST(LN(Table13[Price]),Table13[Age]),1,1)*Table13[[#This Row],[Age]])/Table13[[#This Row],[Price]]</f>
        <v>1.2105456804449581</v>
      </c>
      <c r="M75" s="4">
        <f ca="1">Table13[[#This Row],[Column1]]*VALUE(SUBSTITUTE(LEFT(Table13[[#This Row],[normal price/real milage]],3),",",""))</f>
        <v>0.60527284022247907</v>
      </c>
      <c r="N75" s="4"/>
    </row>
    <row r="76" spans="1:14" x14ac:dyDescent="0.25">
      <c r="A76" s="1">
        <v>45077</v>
      </c>
      <c r="B76">
        <v>3</v>
      </c>
      <c r="C76" s="5">
        <v>33995</v>
      </c>
      <c r="D76">
        <v>2019</v>
      </c>
      <c r="E76" t="s">
        <v>33</v>
      </c>
      <c r="F76" t="s">
        <v>1</v>
      </c>
      <c r="G76">
        <v>54000</v>
      </c>
      <c r="H76" s="4">
        <f>Table13[[#This Row],[Price]]/Table13[[#This Row],[Mileage]]</f>
        <v>0.62953703703703701</v>
      </c>
      <c r="I76" s="3">
        <f ca="1">Table13[[#This Row],[Price]]/Table13[[#This Row],[Age]]</f>
        <v>8498.75</v>
      </c>
      <c r="J76">
        <f ca="1">IF(YEAR(TODAY())=Table13[[#This Row],[year]],0.8,YEAR(TODAY())-Table13[[#This Row],[year]])</f>
        <v>4</v>
      </c>
      <c r="K7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0.822      -6,046</v>
      </c>
      <c r="L76" s="4">
        <f t="array" aca="1" ref="L76" ca="1">EXP(INDEX(LINEST(LN(Table13[Price]),Table13[Age]),1,2))*EXP(INDEX(LINEST(LN(Table13[Price]),Table13[Age]),1,1)*Table13[[#This Row],[Age]])/Table13[[#This Row],[Price]]</f>
        <v>0.71931300245887186</v>
      </c>
      <c r="M76" s="4">
        <f ca="1">Table13[[#This Row],[Column1]]*VALUE(SUBSTITUTE(LEFT(Table13[[#This Row],[normal price/real milage]],3),",",""))</f>
        <v>0.57545040196709751</v>
      </c>
      <c r="N76" s="4"/>
    </row>
    <row r="77" spans="1:14" x14ac:dyDescent="0.25">
      <c r="A77" s="1">
        <v>45077</v>
      </c>
      <c r="B77">
        <v>16</v>
      </c>
      <c r="C77" s="5">
        <v>46000</v>
      </c>
      <c r="D77">
        <v>2023</v>
      </c>
      <c r="E77" t="s">
        <v>40</v>
      </c>
      <c r="F77" t="s">
        <v>1</v>
      </c>
      <c r="G77">
        <v>300</v>
      </c>
      <c r="H77" s="4">
        <f>Table13[[#This Row],[Price]]/Table13[[#This Row],[Mileage]]</f>
        <v>153.33333333333334</v>
      </c>
      <c r="I77" s="3">
        <f ca="1">Table13[[#This Row],[Price]]/Table13[[#This Row],[Age]]</f>
        <v>57500</v>
      </c>
      <c r="J77">
        <f ca="1">IF(YEAR(TODAY())=Table13[[#This Row],[year]],0.8,YEAR(TODAY())-Table13[[#This Row],[year]])</f>
        <v>0.8</v>
      </c>
      <c r="K7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0.764      -10,841</v>
      </c>
      <c r="L77" s="4">
        <f t="array" aca="1" ref="L77" ca="1">EXP(INDEX(LINEST(LN(Table13[Price]),Table13[Age]),1,2))*EXP(INDEX(LINEST(LN(Table13[Price]),Table13[Age]),1,1)*Table13[[#This Row],[Age]])/Table13[[#This Row],[Price]]</f>
        <v>0.82031360319714774</v>
      </c>
      <c r="M77" s="4">
        <f ca="1">Table13[[#This Row],[Column1]]*VALUE(SUBSTITUTE(LEFT(Table13[[#This Row],[normal price/real milage]],3),",",""))</f>
        <v>0.57421952223800343</v>
      </c>
      <c r="N77" s="4"/>
    </row>
    <row r="78" spans="1:14" x14ac:dyDescent="0.25">
      <c r="A78" s="1">
        <v>45077</v>
      </c>
      <c r="B78">
        <v>84</v>
      </c>
      <c r="C78" s="5">
        <v>30000</v>
      </c>
      <c r="D78">
        <v>2018</v>
      </c>
      <c r="E78" t="s">
        <v>33</v>
      </c>
      <c r="F78" t="s">
        <v>61</v>
      </c>
      <c r="G78">
        <v>68000</v>
      </c>
      <c r="H78" s="4">
        <f>Table13[[#This Row],[Price]]/Table13[[#This Row],[Mileage]]</f>
        <v>0.44117647058823528</v>
      </c>
      <c r="I78" s="3">
        <f ca="1">Table13[[#This Row],[Price]]/Table13[[#This Row],[Age]]</f>
        <v>6000</v>
      </c>
      <c r="J78">
        <f ca="1">IF(YEAR(TODAY())=Table13[[#This Row],[year]],0.8,YEAR(TODAY())-Table13[[#This Row],[year]])</f>
        <v>5</v>
      </c>
      <c r="K7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0.869      -3,931</v>
      </c>
      <c r="L78" s="4">
        <f t="array" aca="1" ref="L78" ca="1">EXP(INDEX(LINEST(LN(Table13[Price]),Table13[Age]),1,2))*EXP(INDEX(LINEST(LN(Table13[Price]),Table13[Age]),1,1)*Table13[[#This Row],[Age]])/Table13[[#This Row],[Price]]</f>
        <v>0.71176266726033277</v>
      </c>
      <c r="M78" s="4">
        <f ca="1">Table13[[#This Row],[Column1]]*VALUE(SUBSTITUTE(LEFT(Table13[[#This Row],[normal price/real milage]],3),",",""))</f>
        <v>0.56941013380826622</v>
      </c>
      <c r="N78" s="4"/>
    </row>
    <row r="79" spans="1:14" x14ac:dyDescent="0.25">
      <c r="A79" s="1">
        <v>45077</v>
      </c>
      <c r="B79">
        <v>58</v>
      </c>
      <c r="C79" s="5">
        <v>47951</v>
      </c>
      <c r="D79">
        <v>2023</v>
      </c>
      <c r="E79" t="s">
        <v>44</v>
      </c>
      <c r="F79" t="s">
        <v>51</v>
      </c>
      <c r="G79">
        <v>300</v>
      </c>
      <c r="H79" s="4">
        <f>Table13[[#This Row],[Price]]/Table13[[#This Row],[Mileage]]</f>
        <v>159.83666666666667</v>
      </c>
      <c r="I79" s="3">
        <f ca="1">Table13[[#This Row],[Price]]/Table13[[#This Row],[Age]]</f>
        <v>59938.75</v>
      </c>
      <c r="J79">
        <f ca="1">IF(YEAR(TODAY())=Table13[[#This Row],[year]],0.8,YEAR(TODAY())-Table13[[#This Row],[year]])</f>
        <v>0.8</v>
      </c>
      <c r="K7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0.733      -12,792</v>
      </c>
      <c r="L79" s="4">
        <f t="array" aca="1" ref="L79" ca="1">EXP(INDEX(LINEST(LN(Table13[Price]),Table13[Age]),1,2))*EXP(INDEX(LINEST(LN(Table13[Price]),Table13[Age]),1,1)*Table13[[#This Row],[Age]])/Table13[[#This Row],[Price]]</f>
        <v>0.78693720145708734</v>
      </c>
      <c r="M79" s="4">
        <f ca="1">Table13[[#This Row],[Column1]]*VALUE(SUBSTITUTE(LEFT(Table13[[#This Row],[normal price/real milage]],3),",",""))</f>
        <v>0.55085604101996111</v>
      </c>
      <c r="N79" s="4"/>
    </row>
    <row r="80" spans="1:14" x14ac:dyDescent="0.25">
      <c r="A80" s="1">
        <v>45077</v>
      </c>
      <c r="B80">
        <v>90</v>
      </c>
      <c r="C80" s="5">
        <v>51700</v>
      </c>
      <c r="D80">
        <v>2023</v>
      </c>
      <c r="E80" t="s">
        <v>63</v>
      </c>
      <c r="F80" t="s">
        <v>1</v>
      </c>
      <c r="G80">
        <v>300</v>
      </c>
      <c r="H80" s="4">
        <f>Table13[[#This Row],[Price]]/Table13[[#This Row],[Mileage]]</f>
        <v>172.33333333333334</v>
      </c>
      <c r="I80" s="3">
        <f ca="1">Table13[[#This Row],[Price]]/Table13[[#This Row],[Age]]</f>
        <v>64625</v>
      </c>
      <c r="J80">
        <f ca="1">IF(YEAR(TODAY())=Table13[[#This Row],[year]],0.8,YEAR(TODAY())-Table13[[#This Row],[year]])</f>
        <v>0.8</v>
      </c>
      <c r="K8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0.680      -16,541</v>
      </c>
      <c r="L80" s="4">
        <f t="array" aca="1" ref="L80" ca="1">EXP(INDEX(LINEST(LN(Table13[Price]),Table13[Age]),1,2))*EXP(INDEX(LINEST(LN(Table13[Price]),Table13[Age]),1,1)*Table13[[#This Row],[Age]])/Table13[[#This Row],[Price]]</f>
        <v>0.72987283843459949</v>
      </c>
      <c r="M80" s="4">
        <f ca="1">Table13[[#This Row],[Column1]]*VALUE(SUBSTITUTE(LEFT(Table13[[#This Row],[normal price/real milage]],3),",",""))</f>
        <v>0.43792370306075967</v>
      </c>
      <c r="N80" s="4"/>
    </row>
    <row r="81" spans="1:14" x14ac:dyDescent="0.25">
      <c r="A81" s="1">
        <v>45077</v>
      </c>
      <c r="B81">
        <v>30</v>
      </c>
      <c r="C81" s="5">
        <v>30000</v>
      </c>
      <c r="D81">
        <v>2016</v>
      </c>
      <c r="E81" t="s">
        <v>33</v>
      </c>
      <c r="F81" t="s">
        <v>1</v>
      </c>
      <c r="G81">
        <v>99000</v>
      </c>
      <c r="H81" s="4">
        <f>Table13[[#This Row],[Price]]/Table13[[#This Row],[Mileage]]</f>
        <v>0.30303030303030304</v>
      </c>
      <c r="I81" s="3">
        <f ca="1">Table13[[#This Row],[Price]]/Table13[[#This Row],[Age]]</f>
        <v>4285.7142857142853</v>
      </c>
      <c r="J81">
        <f ca="1">IF(YEAR(TODAY())=Table13[[#This Row],[year]],0.8,YEAR(TODAY())-Table13[[#This Row],[year]])</f>
        <v>7</v>
      </c>
      <c r="K8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0.730      -8,093</v>
      </c>
      <c r="L81" s="4">
        <f t="array" aca="1" ref="L81" ca="1">EXP(INDEX(LINEST(LN(Table13[Price]),Table13[Age]),1,2))*EXP(INDEX(LINEST(LN(Table13[Price]),Table13[Age]),1,1)*Table13[[#This Row],[Age]])/Table13[[#This Row],[Price]]</f>
        <v>0.54272798006615619</v>
      </c>
      <c r="M81" s="4">
        <f ca="1">Table13[[#This Row],[Column1]]*VALUE(SUBSTITUTE(LEFT(Table13[[#This Row],[normal price/real milage]],3),",",""))</f>
        <v>0.37990958604630931</v>
      </c>
      <c r="N81" s="4"/>
    </row>
    <row r="82" spans="1:14" x14ac:dyDescent="0.25">
      <c r="A82" s="1">
        <v>45077</v>
      </c>
      <c r="B82">
        <v>56</v>
      </c>
      <c r="C82" s="5">
        <v>16499</v>
      </c>
      <c r="D82">
        <v>2017</v>
      </c>
      <c r="E82" t="s">
        <v>33</v>
      </c>
      <c r="F82" t="s">
        <v>1</v>
      </c>
      <c r="G82">
        <v>221000</v>
      </c>
      <c r="H82" s="4">
        <f>Table13[[#This Row],[Price]]/Table13[[#This Row],[Mileage]]</f>
        <v>7.4656108597285067E-2</v>
      </c>
      <c r="I82" s="3">
        <f ca="1">Table13[[#This Row],[Price]]/Table13[[#This Row],[Age]]</f>
        <v>2749.8333333333335</v>
      </c>
      <c r="J82">
        <f ca="1">IF(YEAR(TODAY())=Table13[[#This Row],[year]],0.8,YEAR(TODAY())-Table13[[#This Row],[year]])</f>
        <v>6</v>
      </c>
      <c r="K8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0.335      -10,973</v>
      </c>
      <c r="L82" s="4">
        <f t="array" aca="1" ref="L82" ca="1">EXP(INDEX(LINEST(LN(Table13[Price]),Table13[Age]),1,2))*EXP(INDEX(LINEST(LN(Table13[Price]),Table13[Age]),1,1)*Table13[[#This Row],[Age]])/Table13[[#This Row],[Price]]</f>
        <v>1.130114222855807</v>
      </c>
      <c r="M82" s="4">
        <f ca="1">Table13[[#This Row],[Column1]]*VALUE(SUBSTITUTE(LEFT(Table13[[#This Row],[normal price/real milage]],3),",",""))</f>
        <v>0.33903426685674209</v>
      </c>
      <c r="N82" s="4"/>
    </row>
    <row r="83" spans="1:14" x14ac:dyDescent="0.25">
      <c r="A83" s="1">
        <v>45077</v>
      </c>
      <c r="B83">
        <v>47</v>
      </c>
      <c r="C83" s="5">
        <v>14999</v>
      </c>
      <c r="D83">
        <v>2017</v>
      </c>
      <c r="E83" t="s">
        <v>33</v>
      </c>
      <c r="F83" t="s">
        <v>1</v>
      </c>
      <c r="G83">
        <v>230000</v>
      </c>
      <c r="H83" s="4">
        <f>Table13[[#This Row],[Price]]/Table13[[#This Row],[Mileage]]</f>
        <v>6.5213043478260874E-2</v>
      </c>
      <c r="I83" s="3">
        <f ca="1">Table13[[#This Row],[Price]]/Table13[[#This Row],[Age]]</f>
        <v>2499.8333333333335</v>
      </c>
      <c r="J83">
        <f ca="1">IF(YEAR(TODAY())=Table13[[#This Row],[year]],0.8,YEAR(TODAY())-Table13[[#This Row],[year]])</f>
        <v>6</v>
      </c>
      <c r="K8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0.288      -10,681</v>
      </c>
      <c r="L83" s="4">
        <f t="array" aca="1" ref="L83" ca="1">EXP(INDEX(LINEST(LN(Table13[Price]),Table13[Age]),1,2))*EXP(INDEX(LINEST(LN(Table13[Price]),Table13[Age]),1,1)*Table13[[#This Row],[Age]])/Table13[[#This Row],[Price]]</f>
        <v>1.2431331797385132</v>
      </c>
      <c r="M83" s="4">
        <f ca="1">Table13[[#This Row],[Column1]]*VALUE(SUBSTITUTE(LEFT(Table13[[#This Row],[normal price/real milage]],3),",",""))</f>
        <v>0.24862663594770265</v>
      </c>
      <c r="N83" s="4"/>
    </row>
    <row r="84" spans="1:14" x14ac:dyDescent="0.25">
      <c r="A84" s="1">
        <v>45077</v>
      </c>
      <c r="B84">
        <v>44</v>
      </c>
      <c r="C84" s="5">
        <v>9995</v>
      </c>
      <c r="D84">
        <v>2016</v>
      </c>
      <c r="E84" t="s">
        <v>33</v>
      </c>
      <c r="F84" t="s">
        <v>1</v>
      </c>
      <c r="G84">
        <v>262000</v>
      </c>
      <c r="H84" s="4">
        <f>Table13[[#This Row],[Price]]/Table13[[#This Row],[Mileage]]</f>
        <v>3.8148854961832061E-2</v>
      </c>
      <c r="I84" s="3">
        <f ca="1">Table13[[#This Row],[Price]]/Table13[[#This Row],[Age]]</f>
        <v>1427.8571428571429</v>
      </c>
      <c r="J84">
        <f ca="1">IF(YEAR(TODAY())=Table13[[#This Row],[year]],0.8,YEAR(TODAY())-Table13[[#This Row],[year]])</f>
        <v>7</v>
      </c>
      <c r="K8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0.002      -9,974</v>
      </c>
      <c r="L84" s="4">
        <f t="array" aca="1" ref="L84" ca="1">EXP(INDEX(LINEST(LN(Table13[Price]),Table13[Age]),1,2))*EXP(INDEX(LINEST(LN(Table13[Price]),Table13[Age]),1,1)*Table13[[#This Row],[Age]])/Table13[[#This Row],[Price]]</f>
        <v>1.6289984394181778</v>
      </c>
      <c r="M84" s="4">
        <f ca="1">Table13[[#This Row],[Column1]]*VALUE(SUBSTITUTE(LEFT(Table13[[#This Row],[normal price/real milage]],3),",",""))</f>
        <v>0</v>
      </c>
      <c r="N84" s="4"/>
    </row>
    <row r="85" spans="1:14" x14ac:dyDescent="0.25">
      <c r="A85" s="1">
        <v>45077</v>
      </c>
      <c r="B85">
        <v>61</v>
      </c>
      <c r="C85" s="5">
        <v>10500</v>
      </c>
      <c r="D85">
        <v>2016</v>
      </c>
      <c r="E85" t="s">
        <v>33</v>
      </c>
      <c r="F85" t="s">
        <v>9</v>
      </c>
      <c r="G85">
        <v>258000</v>
      </c>
      <c r="H85" s="4">
        <f>Table13[[#This Row],[Price]]/Table13[[#This Row],[Mileage]]</f>
        <v>4.0697674418604654E-2</v>
      </c>
      <c r="I85" s="3">
        <f ca="1">Table13[[#This Row],[Price]]/Table13[[#This Row],[Age]]</f>
        <v>1500</v>
      </c>
      <c r="J85">
        <f ca="1">IF(YEAR(TODAY())=Table13[[#This Row],[year]],0.8,YEAR(TODAY())-Table13[[#This Row],[year]])</f>
        <v>7</v>
      </c>
      <c r="K8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0.053      -9,942</v>
      </c>
      <c r="L85" s="4">
        <f t="array" aca="1" ref="L85" ca="1">EXP(INDEX(LINEST(LN(Table13[Price]),Table13[Age]),1,2))*EXP(INDEX(LINEST(LN(Table13[Price]),Table13[Age]),1,1)*Table13[[#This Row],[Age]])/Table13[[#This Row],[Price]]</f>
        <v>1.5506513716175894</v>
      </c>
      <c r="M85" s="4">
        <f ca="1">Table13[[#This Row],[Column1]]*VALUE(SUBSTITUTE(LEFT(Table13[[#This Row],[normal price/real milage]],3),",",""))</f>
        <v>0</v>
      </c>
      <c r="N85" s="4"/>
    </row>
    <row r="86" spans="1:14" x14ac:dyDescent="0.25">
      <c r="L86" s="4"/>
    </row>
    <row r="87" spans="1:14" x14ac:dyDescent="0.25">
      <c r="L87" s="4"/>
    </row>
    <row r="88" spans="1:14" x14ac:dyDescent="0.25">
      <c r="L88" s="4"/>
    </row>
    <row r="89" spans="1:14" x14ac:dyDescent="0.25">
      <c r="L89" s="4"/>
    </row>
    <row r="90" spans="1:14" x14ac:dyDescent="0.25">
      <c r="L90" s="4"/>
    </row>
    <row r="91" spans="1:14" x14ac:dyDescent="0.25">
      <c r="L91" s="4"/>
    </row>
    <row r="92" spans="1:14" x14ac:dyDescent="0.25">
      <c r="L92" s="4"/>
    </row>
    <row r="93" spans="1:14" x14ac:dyDescent="0.25">
      <c r="L93" s="4"/>
    </row>
    <row r="94" spans="1:14" x14ac:dyDescent="0.25">
      <c r="L94" s="4"/>
    </row>
    <row r="95" spans="1:14" x14ac:dyDescent="0.25">
      <c r="L95" s="4"/>
    </row>
    <row r="96" spans="1:14" x14ac:dyDescent="0.25">
      <c r="L96" s="4"/>
    </row>
    <row r="97" spans="12:12" x14ac:dyDescent="0.25">
      <c r="L97" s="4"/>
    </row>
    <row r="98" spans="12:12" x14ac:dyDescent="0.25">
      <c r="L98" s="4"/>
    </row>
    <row r="99" spans="12:12" x14ac:dyDescent="0.25">
      <c r="L99" s="4"/>
    </row>
    <row r="100" spans="12:12" x14ac:dyDescent="0.25">
      <c r="L100" s="4"/>
    </row>
    <row r="101" spans="12:12" x14ac:dyDescent="0.25">
      <c r="L101" s="4"/>
    </row>
    <row r="102" spans="12:12" x14ac:dyDescent="0.25">
      <c r="L102" s="4"/>
    </row>
    <row r="103" spans="12:12" x14ac:dyDescent="0.25">
      <c r="L103" s="4"/>
    </row>
    <row r="104" spans="12:12" x14ac:dyDescent="0.25">
      <c r="L104" s="4"/>
    </row>
    <row r="105" spans="12:12" x14ac:dyDescent="0.25">
      <c r="L105" s="4"/>
    </row>
    <row r="106" spans="12:12" x14ac:dyDescent="0.25">
      <c r="L106" s="4"/>
    </row>
    <row r="107" spans="12:12" x14ac:dyDescent="0.25">
      <c r="L107" s="4"/>
    </row>
    <row r="108" spans="12:12" x14ac:dyDescent="0.25">
      <c r="L108" s="4"/>
    </row>
    <row r="109" spans="12:12" x14ac:dyDescent="0.25">
      <c r="L109" s="4"/>
    </row>
    <row r="110" spans="12:12" x14ac:dyDescent="0.25">
      <c r="L110" s="4"/>
    </row>
    <row r="111" spans="12:12" x14ac:dyDescent="0.25">
      <c r="L111" s="4"/>
    </row>
    <row r="112" spans="12:12" x14ac:dyDescent="0.25">
      <c r="L112" s="4"/>
    </row>
    <row r="113" spans="12:12" x14ac:dyDescent="0.25">
      <c r="L113" s="4"/>
    </row>
    <row r="114" spans="12:12" x14ac:dyDescent="0.25">
      <c r="L114" s="4"/>
    </row>
    <row r="115" spans="12:12" x14ac:dyDescent="0.25">
      <c r="L115" s="4"/>
    </row>
    <row r="116" spans="12:12" x14ac:dyDescent="0.25">
      <c r="L116" s="4"/>
    </row>
    <row r="117" spans="12:12" x14ac:dyDescent="0.25">
      <c r="L117" s="4"/>
    </row>
    <row r="118" spans="12:12" x14ac:dyDescent="0.25">
      <c r="L118" s="4"/>
    </row>
    <row r="119" spans="12:12" x14ac:dyDescent="0.25">
      <c r="L119" s="4"/>
    </row>
  </sheetData>
  <phoneticPr fontId="1" type="noConversion"/>
  <conditionalFormatting sqref="L2:L85">
    <cfRule type="expression" dxfId="40" priority="3">
      <formula>$L2&lt;1</formula>
    </cfRule>
  </conditionalFormatting>
  <conditionalFormatting sqref="K2:K85">
    <cfRule type="expression" dxfId="39" priority="1">
      <formula>$K2&lt;1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81DC-CF7E-4DFE-96E0-85BC4E45FEF3}">
  <sheetPr codeName="Sheet3"/>
  <dimension ref="A1:R101"/>
  <sheetViews>
    <sheetView zoomScale="85" zoomScaleNormal="85" workbookViewId="0"/>
  </sheetViews>
  <sheetFormatPr defaultRowHeight="15" x14ac:dyDescent="0.25"/>
  <cols>
    <col min="1" max="1" width="9.7109375" bestFit="1" customWidth="1"/>
    <col min="2" max="2" width="5.140625" bestFit="1" customWidth="1"/>
    <col min="3" max="3" width="8" customWidth="1"/>
    <col min="4" max="4" width="7.140625" bestFit="1" customWidth="1"/>
    <col min="5" max="5" width="28.85546875" customWidth="1"/>
    <col min="6" max="6" width="22.5703125" customWidth="1"/>
    <col min="7" max="7" width="10.5703125" bestFit="1" customWidth="1"/>
    <col min="8" max="8" width="15.85546875" customWidth="1"/>
    <col min="9" max="9" width="11.7109375" bestFit="1" customWidth="1"/>
    <col min="10" max="10" width="6.7109375" bestFit="1" customWidth="1"/>
    <col min="11" max="11" width="25" bestFit="1" customWidth="1"/>
    <col min="12" max="14" width="11.7109375" customWidth="1"/>
    <col min="15" max="15" width="12.7109375" bestFit="1" customWidth="1"/>
    <col min="16" max="16" width="9.28515625" bestFit="1" customWidth="1"/>
  </cols>
  <sheetData>
    <row r="1" spans="1:18" x14ac:dyDescent="0.25">
      <c r="A1" t="s">
        <v>27</v>
      </c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32</v>
      </c>
      <c r="J1" t="s">
        <v>31</v>
      </c>
      <c r="K1" t="s">
        <v>48</v>
      </c>
      <c r="L1" t="s">
        <v>25</v>
      </c>
      <c r="M1" t="s">
        <v>49</v>
      </c>
    </row>
    <row r="2" spans="1:18" x14ac:dyDescent="0.25">
      <c r="A2" s="1">
        <v>45080</v>
      </c>
      <c r="B2">
        <v>37</v>
      </c>
      <c r="C2" s="5">
        <v>1200</v>
      </c>
      <c r="D2">
        <v>2020</v>
      </c>
      <c r="E2" t="s">
        <v>66</v>
      </c>
      <c r="F2" t="s">
        <v>8</v>
      </c>
      <c r="G2">
        <v>106000</v>
      </c>
      <c r="H2" s="4">
        <f>Table134[[#This Row],[Price]]/Table134[[#This Row],[Mileage]]</f>
        <v>1.1320754716981131E-2</v>
      </c>
      <c r="I2" s="3">
        <f ca="1">Table134[[#This Row],[Price]]/Table134[[#This Row],[Age]]</f>
        <v>400</v>
      </c>
      <c r="J2">
        <f ca="1">IF(YEAR(TODAY())=Table134[[#This Row],[year]],0.8,YEAR(TODAY())-Table134[[#This Row],[year]])</f>
        <v>3</v>
      </c>
      <c r="K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14.170      15,804</v>
      </c>
      <c r="L2" s="4">
        <f t="array" aca="1" ref="L2" ca="1">EXP(INDEX(LINEST(LN(Table134[Price]),Table134[Age]),1,2))*EXP(INDEX(LINEST(LN(Table134[Price]),Table134[Age]),1,1)*Table134[[#This Row],[Age]])/Table134[[#This Row],[Price]]</f>
        <v>18.645662630501207</v>
      </c>
      <c r="M2" s="4">
        <f ca="1">Table134[[#This Row],[Column1]]*VALUE(SUBSTITUTE(LEFT(Table134[[#This Row],[normal price/real milage]],3),",",""))</f>
        <v>261.03927682701692</v>
      </c>
      <c r="N2" s="4"/>
      <c r="O2">
        <f t="array" ref="O2:P2">LINEST(LN(Table134[Price]),Table134[Mileage])</f>
        <v>-5.9027159976464781E-6</v>
      </c>
      <c r="P2">
        <v>10.24221973120264</v>
      </c>
      <c r="R2">
        <f>INDEX(LINEST(Table134[Price],Table134[Mileage]),1,1)</f>
        <v>-7.8516090925118909E-2</v>
      </c>
    </row>
    <row r="3" spans="1:18" x14ac:dyDescent="0.25">
      <c r="A3" s="1">
        <v>45080</v>
      </c>
      <c r="B3">
        <v>4</v>
      </c>
      <c r="C3" s="5">
        <v>3750</v>
      </c>
      <c r="D3">
        <v>2010</v>
      </c>
      <c r="E3" t="s">
        <v>66</v>
      </c>
      <c r="F3" t="s">
        <v>1</v>
      </c>
      <c r="G3">
        <v>177000</v>
      </c>
      <c r="H3" s="4">
        <f>Table134[[#This Row],[Price]]/Table134[[#This Row],[Mileage]]</f>
        <v>2.1186440677966101E-2</v>
      </c>
      <c r="I3" s="3">
        <f ca="1">Table134[[#This Row],[Price]]/Table134[[#This Row],[Age]]</f>
        <v>288.46153846153845</v>
      </c>
      <c r="J3">
        <f ca="1">IF(YEAR(TODAY())=Table134[[#This Row],[year]],0.8,YEAR(TODAY())-Table134[[#This Row],[year]])</f>
        <v>13</v>
      </c>
      <c r="K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3.048      7,680</v>
      </c>
      <c r="L3" s="4">
        <f t="array" aca="1" ref="L3" ca="1">EXP(INDEX(LINEST(LN(Table134[Price]),Table134[Age]),1,2))*EXP(INDEX(LINEST(LN(Table134[Price]),Table134[Age]),1,1)*Table134[[#This Row],[Age]])/Table134[[#This Row],[Price]]</f>
        <v>1.9411698466158114</v>
      </c>
      <c r="M3" s="4">
        <f ca="1">Table134[[#This Row],[Column1]]*VALUE(SUBSTITUTE(LEFT(Table134[[#This Row],[normal price/real milage]],3),",",""))</f>
        <v>5.8235095398474339</v>
      </c>
      <c r="N3" s="4"/>
    </row>
    <row r="4" spans="1:18" x14ac:dyDescent="0.25">
      <c r="A4" s="1">
        <v>45080</v>
      </c>
      <c r="B4">
        <v>48</v>
      </c>
      <c r="C4" s="5">
        <v>5999</v>
      </c>
      <c r="D4">
        <v>2016</v>
      </c>
      <c r="E4" t="s">
        <v>66</v>
      </c>
      <c r="F4" t="s">
        <v>9</v>
      </c>
      <c r="G4">
        <v>156000</v>
      </c>
      <c r="H4" s="4">
        <f>Table134[[#This Row],[Price]]/Table134[[#This Row],[Mileage]]</f>
        <v>3.8455128205128204E-2</v>
      </c>
      <c r="I4" s="3">
        <f ca="1">Table134[[#This Row],[Price]]/Table134[[#This Row],[Age]]</f>
        <v>857</v>
      </c>
      <c r="J4">
        <f ca="1">IF(YEAR(TODAY())=Table134[[#This Row],[year]],0.8,YEAR(TODAY())-Table134[[#This Row],[year]])</f>
        <v>7</v>
      </c>
      <c r="K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2.180      7,079</v>
      </c>
      <c r="L4" s="4">
        <f t="array" aca="1" ref="L4" ca="1">EXP(INDEX(LINEST(LN(Table134[Price]),Table134[Age]),1,2))*EXP(INDEX(LINEST(LN(Table134[Price]),Table134[Age]),1,1)*Table134[[#This Row],[Age]])/Table134[[#This Row],[Price]]</f>
        <v>2.3802057530499532</v>
      </c>
      <c r="M4" s="4">
        <f ca="1">Table134[[#This Row],[Column1]]*VALUE(SUBSTITUTE(LEFT(Table134[[#This Row],[normal price/real milage]],3),",",""))</f>
        <v>4.9984320814049017</v>
      </c>
      <c r="N4" s="4"/>
    </row>
    <row r="5" spans="1:18" x14ac:dyDescent="0.25">
      <c r="A5" s="1">
        <v>45080</v>
      </c>
      <c r="B5">
        <v>32</v>
      </c>
      <c r="C5" s="5">
        <v>6500</v>
      </c>
      <c r="D5">
        <v>2017</v>
      </c>
      <c r="E5" t="s">
        <v>66</v>
      </c>
      <c r="F5" t="s">
        <v>9</v>
      </c>
      <c r="G5">
        <v>157000</v>
      </c>
      <c r="H5" s="4">
        <f>Table134[[#This Row],[Price]]/Table134[[#This Row],[Mileage]]</f>
        <v>4.1401273885350316E-2</v>
      </c>
      <c r="I5" s="3">
        <f ca="1">Table134[[#This Row],[Price]]/Table134[[#This Row],[Age]]</f>
        <v>1083.3333333333333</v>
      </c>
      <c r="J5">
        <f ca="1">IF(YEAR(TODAY())=Table134[[#This Row],[year]],0.8,YEAR(TODAY())-Table134[[#This Row],[year]])</f>
        <v>6</v>
      </c>
      <c r="K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2.000      6,500</v>
      </c>
      <c r="L5" s="4">
        <f t="array" aca="1" ref="L5" ca="1">EXP(INDEX(LINEST(LN(Table134[Price]),Table134[Age]),1,2))*EXP(INDEX(LINEST(LN(Table134[Price]),Table134[Age]),1,1)*Table134[[#This Row],[Age]])/Table134[[#This Row],[Price]]</f>
        <v>2.4577993907507758</v>
      </c>
      <c r="M5" s="4">
        <f ca="1">Table134[[#This Row],[Column1]]*VALUE(SUBSTITUTE(LEFT(Table134[[#This Row],[normal price/real milage]],3),",",""))</f>
        <v>4.9155987815015516</v>
      </c>
      <c r="N5" s="4"/>
    </row>
    <row r="6" spans="1:18" x14ac:dyDescent="0.25">
      <c r="A6" s="1">
        <v>45080</v>
      </c>
      <c r="B6">
        <v>17</v>
      </c>
      <c r="C6" s="5">
        <v>3995</v>
      </c>
      <c r="D6">
        <v>2010</v>
      </c>
      <c r="E6" t="s">
        <v>66</v>
      </c>
      <c r="F6" t="s">
        <v>1</v>
      </c>
      <c r="G6">
        <v>214000</v>
      </c>
      <c r="H6" s="4">
        <f>Table134[[#This Row],[Price]]/Table134[[#This Row],[Mileage]]</f>
        <v>1.8668224299065419E-2</v>
      </c>
      <c r="I6" s="3">
        <f ca="1">Table134[[#This Row],[Price]]/Table134[[#This Row],[Age]]</f>
        <v>307.30769230769232</v>
      </c>
      <c r="J6">
        <f ca="1">IF(YEAR(TODAY())=Table134[[#This Row],[year]],0.8,YEAR(TODAY())-Table134[[#This Row],[year]])</f>
        <v>13</v>
      </c>
      <c r="K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2.134      4,529</v>
      </c>
      <c r="L6" s="4">
        <f t="array" aca="1" ref="L6" ca="1">EXP(INDEX(LINEST(LN(Table134[Price]),Table134[Age]),1,2))*EXP(INDEX(LINEST(LN(Table134[Price]),Table134[Age]),1,1)*Table134[[#This Row],[Age]])/Table134[[#This Row],[Price]]</f>
        <v>1.8221243866856802</v>
      </c>
      <c r="M6" s="4">
        <f ca="1">Table134[[#This Row],[Column1]]*VALUE(SUBSTITUTE(LEFT(Table134[[#This Row],[normal price/real milage]],3),",",""))</f>
        <v>3.8264612120399288</v>
      </c>
      <c r="N6" s="4"/>
    </row>
    <row r="7" spans="1:18" x14ac:dyDescent="0.25">
      <c r="A7" s="1">
        <v>45080</v>
      </c>
      <c r="B7">
        <v>14</v>
      </c>
      <c r="C7" s="5">
        <v>4750</v>
      </c>
      <c r="D7">
        <v>2010</v>
      </c>
      <c r="E7" t="s">
        <v>66</v>
      </c>
      <c r="F7" t="s">
        <v>68</v>
      </c>
      <c r="G7">
        <v>172000</v>
      </c>
      <c r="H7" s="4">
        <f>Table134[[#This Row],[Price]]/Table134[[#This Row],[Mileage]]</f>
        <v>2.7616279069767442E-2</v>
      </c>
      <c r="I7" s="3">
        <f ca="1">Table134[[#This Row],[Price]]/Table134[[#This Row],[Age]]</f>
        <v>365.38461538461536</v>
      </c>
      <c r="J7">
        <f ca="1">IF(YEAR(TODAY())=Table134[[#This Row],[year]],0.8,YEAR(TODAY())-Table134[[#This Row],[year]])</f>
        <v>13</v>
      </c>
      <c r="K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2.489      7,072</v>
      </c>
      <c r="L7" s="4">
        <f t="array" aca="1" ref="L7" ca="1">EXP(INDEX(LINEST(LN(Table134[Price]),Table134[Age]),1,2))*EXP(INDEX(LINEST(LN(Table134[Price]),Table134[Age]),1,1)*Table134[[#This Row],[Age]])/Table134[[#This Row],[Price]]</f>
        <v>1.5325025104861669</v>
      </c>
      <c r="M7" s="4">
        <f ca="1">Table134[[#This Row],[Column1]]*VALUE(SUBSTITUTE(LEFT(Table134[[#This Row],[normal price/real milage]],3),",",""))</f>
        <v>3.6780060251668005</v>
      </c>
      <c r="N7" s="4"/>
    </row>
    <row r="8" spans="1:18" x14ac:dyDescent="0.25">
      <c r="A8" s="1">
        <v>45080</v>
      </c>
      <c r="B8">
        <v>12</v>
      </c>
      <c r="C8" s="5">
        <v>6400</v>
      </c>
      <c r="D8">
        <v>2012</v>
      </c>
      <c r="E8" t="s">
        <v>33</v>
      </c>
      <c r="F8" t="s">
        <v>1</v>
      </c>
      <c r="G8">
        <v>175000</v>
      </c>
      <c r="H8" s="4">
        <f>Table134[[#This Row],[Price]]/Table134[[#This Row],[Mileage]]</f>
        <v>3.6571428571428574E-2</v>
      </c>
      <c r="I8" s="3">
        <f ca="1">Table134[[#This Row],[Price]]/Table134[[#This Row],[Age]]</f>
        <v>581.81818181818187</v>
      </c>
      <c r="J8">
        <f ca="1">IF(YEAR(TODAY())=Table134[[#This Row],[year]],0.8,YEAR(TODAY())-Table134[[#This Row],[year]])</f>
        <v>11</v>
      </c>
      <c r="K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1.810      5,187</v>
      </c>
      <c r="L8" s="4">
        <f t="array" aca="1" ref="L8" ca="1">EXP(INDEX(LINEST(LN(Table134[Price]),Table134[Age]),1,2))*EXP(INDEX(LINEST(LN(Table134[Price]),Table134[Age]),1,1)*Table134[[#This Row],[Age]])/Table134[[#This Row],[Price]]</f>
        <v>1.4237957197759687</v>
      </c>
      <c r="M8" s="4">
        <f ca="1">Table134[[#This Row],[Column1]]*VALUE(SUBSTITUTE(LEFT(Table134[[#This Row],[normal price/real milage]],3),",",""))</f>
        <v>2.5628322955967437</v>
      </c>
      <c r="N8" s="4"/>
    </row>
    <row r="9" spans="1:18" x14ac:dyDescent="0.25">
      <c r="A9" s="1">
        <v>45080</v>
      </c>
      <c r="B9">
        <v>21</v>
      </c>
      <c r="C9" s="5">
        <v>13000</v>
      </c>
      <c r="D9">
        <v>2018</v>
      </c>
      <c r="E9" t="s">
        <v>66</v>
      </c>
      <c r="F9" t="s">
        <v>1</v>
      </c>
      <c r="G9">
        <v>67000</v>
      </c>
      <c r="H9" s="4">
        <f>Table134[[#This Row],[Price]]/Table134[[#This Row],[Mileage]]</f>
        <v>0.19402985074626866</v>
      </c>
      <c r="I9" s="3">
        <f ca="1">Table134[[#This Row],[Price]]/Table134[[#This Row],[Age]]</f>
        <v>2600</v>
      </c>
      <c r="J9">
        <f ca="1">IF(YEAR(TODAY())=Table134[[#This Row],[year]],0.8,YEAR(TODAY())-Table134[[#This Row],[year]])</f>
        <v>5</v>
      </c>
      <c r="K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1.544      7,066</v>
      </c>
      <c r="L9" s="4">
        <f t="array" aca="1" ref="L9" ca="1">EXP(INDEX(LINEST(LN(Table134[Price]),Table134[Age]),1,2))*EXP(INDEX(LINEST(LN(Table134[Price]),Table134[Age]),1,1)*Table134[[#This Row],[Age]])/Table134[[#This Row],[Price]]</f>
        <v>1.3749372020392066</v>
      </c>
      <c r="M9" s="4">
        <f ca="1">Table134[[#This Row],[Column1]]*VALUE(SUBSTITUTE(LEFT(Table134[[#This Row],[normal price/real milage]],3),",",""))</f>
        <v>2.0624058030588097</v>
      </c>
      <c r="N9" s="4"/>
    </row>
    <row r="10" spans="1:18" x14ac:dyDescent="0.25">
      <c r="A10" s="1">
        <v>45080</v>
      </c>
      <c r="B10">
        <v>13</v>
      </c>
      <c r="C10" s="5">
        <v>4800</v>
      </c>
      <c r="D10">
        <v>2010</v>
      </c>
      <c r="E10" t="s">
        <v>66</v>
      </c>
      <c r="F10" t="s">
        <v>67</v>
      </c>
      <c r="G10">
        <v>241000</v>
      </c>
      <c r="H10" s="4">
        <f>Table134[[#This Row],[Price]]/Table134[[#This Row],[Mileage]]</f>
        <v>1.9917012448132779E-2</v>
      </c>
      <c r="I10" s="3">
        <f ca="1">Table134[[#This Row],[Price]]/Table134[[#This Row],[Age]]</f>
        <v>369.23076923076923</v>
      </c>
      <c r="J10">
        <f ca="1">IF(YEAR(TODAY())=Table134[[#This Row],[year]],0.8,YEAR(TODAY())-Table134[[#This Row],[year]])</f>
        <v>13</v>
      </c>
      <c r="K1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1.334      1,605</v>
      </c>
      <c r="L10" s="4">
        <f t="array" aca="1" ref="L10" ca="1">EXP(INDEX(LINEST(LN(Table134[Price]),Table134[Age]),1,2))*EXP(INDEX(LINEST(LN(Table134[Price]),Table134[Age]),1,1)*Table134[[#This Row],[Age]])/Table134[[#This Row],[Price]]</f>
        <v>1.5165389426686027</v>
      </c>
      <c r="M10" s="4">
        <f ca="1">Table134[[#This Row],[Column1]]*VALUE(SUBSTITUTE(LEFT(Table134[[#This Row],[normal price/real milage]],3),",",""))</f>
        <v>1.9715006254691836</v>
      </c>
      <c r="N10" s="4"/>
    </row>
    <row r="11" spans="1:18" x14ac:dyDescent="0.25">
      <c r="A11" s="1">
        <v>45080</v>
      </c>
      <c r="B11">
        <v>59</v>
      </c>
      <c r="C11" s="5">
        <v>9500</v>
      </c>
      <c r="D11">
        <v>2012</v>
      </c>
      <c r="E11" t="s">
        <v>41</v>
      </c>
      <c r="F11" t="s">
        <v>1</v>
      </c>
      <c r="G11">
        <v>75000</v>
      </c>
      <c r="H11" s="4">
        <f>Table134[[#This Row],[Price]]/Table134[[#This Row],[Mileage]]</f>
        <v>0.12666666666666668</v>
      </c>
      <c r="I11" s="3">
        <f ca="1">Table134[[#This Row],[Price]]/Table134[[#This Row],[Age]]</f>
        <v>863.63636363636363</v>
      </c>
      <c r="J11">
        <f ca="1">IF(YEAR(TODAY())=Table134[[#This Row],[year]],0.8,YEAR(TODAY())-Table134[[#This Row],[year]])</f>
        <v>11</v>
      </c>
      <c r="K1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2.046      9,938</v>
      </c>
      <c r="L11" s="4">
        <f t="array" aca="1" ref="L11" ca="1">EXP(INDEX(LINEST(LN(Table134[Price]),Table134[Age]),1,2))*EXP(INDEX(LINEST(LN(Table134[Price]),Table134[Age]),1,1)*Table134[[#This Row],[Age]])/Table134[[#This Row],[Price]]</f>
        <v>0.95918869542802099</v>
      </c>
      <c r="M11" s="4">
        <f ca="1">Table134[[#This Row],[Column1]]*VALUE(SUBSTITUTE(LEFT(Table134[[#This Row],[normal price/real milage]],3),",",""))</f>
        <v>1.918377390856042</v>
      </c>
      <c r="N11" s="4"/>
    </row>
    <row r="12" spans="1:18" x14ac:dyDescent="0.25">
      <c r="A12" s="1">
        <v>45080</v>
      </c>
      <c r="B12">
        <v>64</v>
      </c>
      <c r="C12" s="5">
        <v>12400</v>
      </c>
      <c r="D12">
        <v>2017</v>
      </c>
      <c r="E12" t="s">
        <v>33</v>
      </c>
      <c r="F12" t="s">
        <v>9</v>
      </c>
      <c r="G12">
        <v>100000</v>
      </c>
      <c r="H12" s="4">
        <f>Table134[[#This Row],[Price]]/Table134[[#This Row],[Mileage]]</f>
        <v>0.124</v>
      </c>
      <c r="I12" s="3">
        <f ca="1">Table134[[#This Row],[Price]]/Table134[[#This Row],[Age]]</f>
        <v>2066.6666666666665</v>
      </c>
      <c r="J12">
        <f ca="1">IF(YEAR(TODAY())=Table134[[#This Row],[year]],0.8,YEAR(TODAY())-Table134[[#This Row],[year]])</f>
        <v>6</v>
      </c>
      <c r="K1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1.409      5,075</v>
      </c>
      <c r="L12" s="4">
        <f t="array" aca="1" ref="L12" ca="1">EXP(INDEX(LINEST(LN(Table134[Price]),Table134[Age]),1,2))*EXP(INDEX(LINEST(LN(Table134[Price]),Table134[Age]),1,1)*Table134[[#This Row],[Age]])/Table134[[#This Row],[Price]]</f>
        <v>1.2883625838612938</v>
      </c>
      <c r="M12" s="4">
        <f ca="1">Table134[[#This Row],[Column1]]*VALUE(SUBSTITUTE(LEFT(Table134[[#This Row],[normal price/real milage]],3),",",""))</f>
        <v>1.8037076174058111</v>
      </c>
      <c r="N12" s="4"/>
    </row>
    <row r="13" spans="1:18" x14ac:dyDescent="0.25">
      <c r="A13" s="1">
        <v>45080</v>
      </c>
      <c r="B13">
        <v>38</v>
      </c>
      <c r="C13" s="5">
        <v>9900</v>
      </c>
      <c r="D13">
        <v>2017</v>
      </c>
      <c r="E13" t="s">
        <v>75</v>
      </c>
      <c r="F13" t="s">
        <v>3</v>
      </c>
      <c r="G13">
        <v>183000</v>
      </c>
      <c r="H13" s="4">
        <f>Table134[[#This Row],[Price]]/Table134[[#This Row],[Mileage]]</f>
        <v>5.4098360655737705E-2</v>
      </c>
      <c r="I13" s="3">
        <f ca="1">Table134[[#This Row],[Price]]/Table134[[#This Row],[Age]]</f>
        <v>1650</v>
      </c>
      <c r="J13">
        <f ca="1">IF(YEAR(TODAY())=Table134[[#This Row],[year]],0.8,YEAR(TODAY())-Table134[[#This Row],[year]])</f>
        <v>6</v>
      </c>
      <c r="K1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1.107      1,058</v>
      </c>
      <c r="L13" s="4">
        <f t="array" aca="1" ref="L13" ca="1">EXP(INDEX(LINEST(LN(Table134[Price]),Table134[Age]),1,2))*EXP(INDEX(LINEST(LN(Table134[Price]),Table134[Age]),1,1)*Table134[[#This Row],[Age]])/Table134[[#This Row],[Price]]</f>
        <v>1.6137066706949537</v>
      </c>
      <c r="M13" s="4">
        <f ca="1">Table134[[#This Row],[Column1]]*VALUE(SUBSTITUTE(LEFT(Table134[[#This Row],[normal price/real milage]],3),",",""))</f>
        <v>1.7750773377644491</v>
      </c>
      <c r="N13" s="4"/>
    </row>
    <row r="14" spans="1:18" x14ac:dyDescent="0.25">
      <c r="A14" s="1">
        <v>45080</v>
      </c>
      <c r="B14">
        <v>24</v>
      </c>
      <c r="C14" s="5">
        <v>5888</v>
      </c>
      <c r="D14">
        <v>2007</v>
      </c>
      <c r="E14" t="s">
        <v>66</v>
      </c>
      <c r="F14" t="s">
        <v>9</v>
      </c>
      <c r="G14">
        <v>168000</v>
      </c>
      <c r="H14" s="4">
        <f>Table134[[#This Row],[Price]]/Table134[[#This Row],[Mileage]]</f>
        <v>3.504761904761905E-2</v>
      </c>
      <c r="I14" s="3">
        <f ca="1">Table134[[#This Row],[Price]]/Table134[[#This Row],[Age]]</f>
        <v>368</v>
      </c>
      <c r="J14">
        <f ca="1">IF(YEAR(TODAY())=Table134[[#This Row],[year]],0.8,YEAR(TODAY())-Table134[[#This Row],[year]])</f>
        <v>16</v>
      </c>
      <c r="K1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2.061      6,248</v>
      </c>
      <c r="L14" s="4">
        <f t="array" aca="1" ref="L14" ca="1">EXP(INDEX(LINEST(LN(Table134[Price]),Table134[Age]),1,2))*EXP(INDEX(LINEST(LN(Table134[Price]),Table134[Age]),1,1)*Table134[[#This Row],[Age]])/Table134[[#This Row],[Price]]</f>
        <v>0.88272966923360729</v>
      </c>
      <c r="M14" s="4">
        <f ca="1">Table134[[#This Row],[Column1]]*VALUE(SUBSTITUTE(LEFT(Table134[[#This Row],[normal price/real milage]],3),",",""))</f>
        <v>1.7654593384672146</v>
      </c>
      <c r="N14" s="4"/>
    </row>
    <row r="15" spans="1:18" x14ac:dyDescent="0.25">
      <c r="A15" s="1">
        <v>45080</v>
      </c>
      <c r="B15">
        <v>16</v>
      </c>
      <c r="C15" s="5">
        <v>4995</v>
      </c>
      <c r="D15">
        <v>2010</v>
      </c>
      <c r="E15" t="s">
        <v>66</v>
      </c>
      <c r="F15" t="s">
        <v>1</v>
      </c>
      <c r="G15">
        <v>245000</v>
      </c>
      <c r="H15" s="4">
        <f>Table134[[#This Row],[Price]]/Table134[[#This Row],[Mileage]]</f>
        <v>2.0387755102040817E-2</v>
      </c>
      <c r="I15" s="3">
        <f ca="1">Table134[[#This Row],[Price]]/Table134[[#This Row],[Age]]</f>
        <v>384.23076923076923</v>
      </c>
      <c r="J15">
        <f ca="1">IF(YEAR(TODAY())=Table134[[#This Row],[year]],0.8,YEAR(TODAY())-Table134[[#This Row],[year]])</f>
        <v>13</v>
      </c>
      <c r="K1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1.219      1,095</v>
      </c>
      <c r="L15" s="4">
        <f t="array" aca="1" ref="L15" ca="1">EXP(INDEX(LINEST(LN(Table134[Price]),Table134[Age]),1,2))*EXP(INDEX(LINEST(LN(Table134[Price]),Table134[Age]),1,1)*Table134[[#This Row],[Age]])/Table134[[#This Row],[Price]]</f>
        <v>1.45733471968154</v>
      </c>
      <c r="M15" s="4">
        <f ca="1">Table134[[#This Row],[Column1]]*VALUE(SUBSTITUTE(LEFT(Table134[[#This Row],[normal price/real milage]],3),",",""))</f>
        <v>1.7488016636178481</v>
      </c>
      <c r="N15" s="4"/>
    </row>
    <row r="16" spans="1:18" x14ac:dyDescent="0.25">
      <c r="A16" s="1">
        <v>45080</v>
      </c>
      <c r="B16">
        <v>19</v>
      </c>
      <c r="C16" s="5">
        <v>4250</v>
      </c>
      <c r="D16">
        <v>2009</v>
      </c>
      <c r="E16" t="s">
        <v>66</v>
      </c>
      <c r="F16" t="s">
        <v>9</v>
      </c>
      <c r="G16">
        <v>262000</v>
      </c>
      <c r="H16" s="4">
        <f>Table134[[#This Row],[Price]]/Table134[[#This Row],[Mileage]]</f>
        <v>1.6221374045801526E-2</v>
      </c>
      <c r="I16" s="3">
        <f ca="1">Table134[[#This Row],[Price]]/Table134[[#This Row],[Age]]</f>
        <v>303.57142857142856</v>
      </c>
      <c r="J16">
        <f ca="1">IF(YEAR(TODAY())=Table134[[#This Row],[year]],0.8,YEAR(TODAY())-Table134[[#This Row],[year]])</f>
        <v>14</v>
      </c>
      <c r="K1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1.119      506</v>
      </c>
      <c r="L16" s="4">
        <f t="array" aca="1" ref="L16" ca="1">EXP(INDEX(LINEST(LN(Table134[Price]),Table134[Age]),1,2))*EXP(INDEX(LINEST(LN(Table134[Price]),Table134[Age]),1,1)*Table134[[#This Row],[Age]])/Table134[[#This Row],[Price]]</f>
        <v>1.5308740023822787</v>
      </c>
      <c r="M16" s="4">
        <f ca="1">Table134[[#This Row],[Column1]]*VALUE(SUBSTITUTE(LEFT(Table134[[#This Row],[normal price/real milage]],3),",",""))</f>
        <v>1.6839614026205068</v>
      </c>
      <c r="N16" s="4"/>
    </row>
    <row r="17" spans="1:14" x14ac:dyDescent="0.25">
      <c r="A17" s="1">
        <v>45080</v>
      </c>
      <c r="B17">
        <v>56</v>
      </c>
      <c r="C17" s="5">
        <v>10999</v>
      </c>
      <c r="D17">
        <v>2016</v>
      </c>
      <c r="E17" t="s">
        <v>77</v>
      </c>
      <c r="F17" t="s">
        <v>1</v>
      </c>
      <c r="G17">
        <v>166000</v>
      </c>
      <c r="H17" s="4">
        <f>Table134[[#This Row],[Price]]/Table134[[#This Row],[Mileage]]</f>
        <v>6.6259036144578315E-2</v>
      </c>
      <c r="I17" s="3">
        <f ca="1">Table134[[#This Row],[Price]]/Table134[[#This Row],[Age]]</f>
        <v>1571.2857142857142</v>
      </c>
      <c r="J17">
        <f ca="1">IF(YEAR(TODAY())=Table134[[#This Row],[year]],0.8,YEAR(TODAY())-Table134[[#This Row],[year]])</f>
        <v>7</v>
      </c>
      <c r="K1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1.118      1,294</v>
      </c>
      <c r="L17" s="4">
        <f t="array" aca="1" ref="L17" ca="1">EXP(INDEX(LINEST(LN(Table134[Price]),Table134[Age]),1,2))*EXP(INDEX(LINEST(LN(Table134[Price]),Table134[Age]),1,1)*Table134[[#This Row],[Age]])/Table134[[#This Row],[Price]]</f>
        <v>1.2981956825662941</v>
      </c>
      <c r="M17" s="4">
        <f ca="1">Table134[[#This Row],[Column1]]*VALUE(SUBSTITUTE(LEFT(Table134[[#This Row],[normal price/real milage]],3),",",""))</f>
        <v>1.4280152508229236</v>
      </c>
      <c r="N17" s="4"/>
    </row>
    <row r="18" spans="1:14" x14ac:dyDescent="0.25">
      <c r="A18" s="1">
        <v>45080</v>
      </c>
      <c r="B18">
        <v>6</v>
      </c>
      <c r="C18" s="5">
        <v>8999</v>
      </c>
      <c r="D18">
        <v>2012</v>
      </c>
      <c r="E18" t="s">
        <v>33</v>
      </c>
      <c r="F18" t="s">
        <v>1</v>
      </c>
      <c r="G18">
        <v>160000</v>
      </c>
      <c r="H18" s="4">
        <f>Table134[[#This Row],[Price]]/Table134[[#This Row],[Mileage]]</f>
        <v>5.6243750000000002E-2</v>
      </c>
      <c r="I18" s="3">
        <f ca="1">Table134[[#This Row],[Price]]/Table134[[#This Row],[Age]]</f>
        <v>818.09090909090912</v>
      </c>
      <c r="J18">
        <f ca="1">IF(YEAR(TODAY())=Table134[[#This Row],[year]],0.8,YEAR(TODAY())-Table134[[#This Row],[year]])</f>
        <v>11</v>
      </c>
      <c r="K1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1.418      3,765</v>
      </c>
      <c r="L18" s="4">
        <f t="array" aca="1" ref="L18" ca="1">EXP(INDEX(LINEST(LN(Table134[Price]),Table134[Age]),1,2))*EXP(INDEX(LINEST(LN(Table134[Price]),Table134[Age]),1,1)*Table134[[#This Row],[Age]])/Table134[[#This Row],[Price]]</f>
        <v>1.012589466225825</v>
      </c>
      <c r="M18" s="4">
        <f ca="1">Table134[[#This Row],[Column1]]*VALUE(SUBSTITUTE(LEFT(Table134[[#This Row],[normal price/real milage]],3),",",""))</f>
        <v>1.417625252716155</v>
      </c>
      <c r="N18" s="4"/>
    </row>
    <row r="19" spans="1:14" x14ac:dyDescent="0.25">
      <c r="A19" s="1">
        <v>45080</v>
      </c>
      <c r="B19">
        <v>43</v>
      </c>
      <c r="C19" s="5">
        <v>17000</v>
      </c>
      <c r="D19">
        <v>2017</v>
      </c>
      <c r="E19" t="s">
        <v>66</v>
      </c>
      <c r="F19" t="s">
        <v>1</v>
      </c>
      <c r="G19">
        <v>10000</v>
      </c>
      <c r="H19" s="4">
        <f>Table134[[#This Row],[Price]]/Table134[[#This Row],[Mileage]]</f>
        <v>1.7</v>
      </c>
      <c r="I19" s="3">
        <f ca="1">Table134[[#This Row],[Price]]/Table134[[#This Row],[Age]]</f>
        <v>2833.3333333333335</v>
      </c>
      <c r="J19">
        <f ca="1">IF(YEAR(TODAY())=Table134[[#This Row],[year]],0.8,YEAR(TODAY())-Table134[[#This Row],[year]])</f>
        <v>6</v>
      </c>
      <c r="K1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1.444      7,542</v>
      </c>
      <c r="L19" s="4">
        <f t="array" aca="1" ref="L19" ca="1">EXP(INDEX(LINEST(LN(Table134[Price]),Table134[Age]),1,2))*EXP(INDEX(LINEST(LN(Table134[Price]),Table134[Age]),1,1)*Table134[[#This Row],[Age]])/Table134[[#This Row],[Price]]</f>
        <v>0.93974682587529657</v>
      </c>
      <c r="M19" s="4">
        <f ca="1">Table134[[#This Row],[Column1]]*VALUE(SUBSTITUTE(LEFT(Table134[[#This Row],[normal price/real milage]],3),",",""))</f>
        <v>1.315645556225415</v>
      </c>
      <c r="N19" s="4"/>
    </row>
    <row r="20" spans="1:14" x14ac:dyDescent="0.25">
      <c r="A20" s="1">
        <v>45080</v>
      </c>
      <c r="B20">
        <v>66</v>
      </c>
      <c r="C20" s="5">
        <v>14900</v>
      </c>
      <c r="D20">
        <v>2017</v>
      </c>
      <c r="E20" t="s">
        <v>75</v>
      </c>
      <c r="F20" t="s">
        <v>7</v>
      </c>
      <c r="G20">
        <v>105000</v>
      </c>
      <c r="H20" s="4">
        <f>Table134[[#This Row],[Price]]/Table134[[#This Row],[Mileage]]</f>
        <v>0.14190476190476189</v>
      </c>
      <c r="I20" s="3">
        <f ca="1">Table134[[#This Row],[Price]]/Table134[[#This Row],[Age]]</f>
        <v>2483.3333333333335</v>
      </c>
      <c r="J20">
        <f ca="1">IF(YEAR(TODAY())=Table134[[#This Row],[year]],0.8,YEAR(TODAY())-Table134[[#This Row],[year]])</f>
        <v>6</v>
      </c>
      <c r="K2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1.146      2,183</v>
      </c>
      <c r="L20" s="4">
        <f t="array" aca="1" ref="L20" ca="1">EXP(INDEX(LINEST(LN(Table134[Price]),Table134[Age]),1,2))*EXP(INDEX(LINEST(LN(Table134[Price]),Table134[Age]),1,1)*Table134[[#This Row],[Age]])/Table134[[#This Row],[Price]]</f>
        <v>1.0721943650926202</v>
      </c>
      <c r="M20" s="4">
        <f ca="1">Table134[[#This Row],[Column1]]*VALUE(SUBSTITUTE(LEFT(Table134[[#This Row],[normal price/real milage]],3),",",""))</f>
        <v>1.1794138016018823</v>
      </c>
      <c r="N20" s="4"/>
    </row>
    <row r="21" spans="1:14" x14ac:dyDescent="0.25">
      <c r="A21" s="1">
        <v>45080</v>
      </c>
      <c r="B21">
        <v>69</v>
      </c>
      <c r="C21" s="5">
        <v>23900</v>
      </c>
      <c r="D21">
        <v>2022</v>
      </c>
      <c r="E21" t="s">
        <v>34</v>
      </c>
      <c r="F21" t="s">
        <v>1</v>
      </c>
      <c r="G21">
        <v>3000</v>
      </c>
      <c r="H21" s="4">
        <f>Table134[[#This Row],[Price]]/Table134[[#This Row],[Mileage]]</f>
        <v>7.9666666666666668</v>
      </c>
      <c r="I21" s="3">
        <f ca="1">Table134[[#This Row],[Price]]/Table134[[#This Row],[Age]]</f>
        <v>23900</v>
      </c>
      <c r="J21">
        <f ca="1">IF(YEAR(TODAY())=Table134[[#This Row],[year]],0.8,YEAR(TODAY())-Table134[[#This Row],[year]])</f>
        <v>1</v>
      </c>
      <c r="K2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1.050      1,191</v>
      </c>
      <c r="L21" s="4">
        <f t="array" aca="1" ref="L21" ca="1">EXP(INDEX(LINEST(LN(Table134[Price]),Table134[Age]),1,2))*EXP(INDEX(LINEST(LN(Table134[Price]),Table134[Age]),1,1)*Table134[[#This Row],[Age]])/Table134[[#This Row],[Price]]</f>
        <v>1.1719093514486694</v>
      </c>
      <c r="M21" s="4">
        <f ca="1">Table134[[#This Row],[Column1]]*VALUE(SUBSTITUTE(LEFT(Table134[[#This Row],[normal price/real milage]],3),",",""))</f>
        <v>1.1719093514486694</v>
      </c>
      <c r="N21" s="4"/>
    </row>
    <row r="22" spans="1:14" x14ac:dyDescent="0.25">
      <c r="A22" s="1">
        <v>45080</v>
      </c>
      <c r="B22">
        <v>7</v>
      </c>
      <c r="C22" s="5">
        <v>8999</v>
      </c>
      <c r="D22">
        <v>2007</v>
      </c>
      <c r="E22" t="s">
        <v>66</v>
      </c>
      <c r="F22" t="s">
        <v>1</v>
      </c>
      <c r="G22">
        <v>87000</v>
      </c>
      <c r="H22" s="4">
        <f>Table134[[#This Row],[Price]]/Table134[[#This Row],[Mileage]]</f>
        <v>0.10343678160919541</v>
      </c>
      <c r="I22" s="3">
        <f ca="1">Table134[[#This Row],[Price]]/Table134[[#This Row],[Age]]</f>
        <v>562.4375</v>
      </c>
      <c r="J22">
        <f ca="1">IF(YEAR(TODAY())=Table134[[#This Row],[year]],0.8,YEAR(TODAY())-Table134[[#This Row],[year]])</f>
        <v>16</v>
      </c>
      <c r="K2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2.055      9,497</v>
      </c>
      <c r="L22" s="4">
        <f t="array" aca="1" ref="L22" ca="1">EXP(INDEX(LINEST(LN(Table134[Price]),Table134[Age]),1,2))*EXP(INDEX(LINEST(LN(Table134[Price]),Table134[Age]),1,1)*Table134[[#This Row],[Age]])/Table134[[#This Row],[Price]]</f>
        <v>0.57756553977636182</v>
      </c>
      <c r="M22" s="4">
        <f ca="1">Table134[[#This Row],[Column1]]*VALUE(SUBSTITUTE(LEFT(Table134[[#This Row],[normal price/real milage]],3),",",""))</f>
        <v>1.1551310795527236</v>
      </c>
      <c r="N22" s="4"/>
    </row>
    <row r="23" spans="1:14" x14ac:dyDescent="0.25">
      <c r="A23" s="1">
        <v>45080</v>
      </c>
      <c r="B23">
        <v>60</v>
      </c>
      <c r="C23" s="5">
        <v>7995</v>
      </c>
      <c r="D23">
        <v>2013</v>
      </c>
      <c r="E23" t="s">
        <v>66</v>
      </c>
      <c r="F23" t="s">
        <v>9</v>
      </c>
      <c r="G23">
        <v>223000</v>
      </c>
      <c r="H23" s="4">
        <f>Table134[[#This Row],[Price]]/Table134[[#This Row],[Mileage]]</f>
        <v>3.5852017937219732E-2</v>
      </c>
      <c r="I23" s="3">
        <f ca="1">Table134[[#This Row],[Price]]/Table134[[#This Row],[Age]]</f>
        <v>799.5</v>
      </c>
      <c r="J23">
        <f ca="1">IF(YEAR(TODAY())=Table134[[#This Row],[year]],0.8,YEAR(TODAY())-Table134[[#This Row],[year]])</f>
        <v>10</v>
      </c>
      <c r="K2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0.978      -177</v>
      </c>
      <c r="L23" s="4">
        <f t="array" aca="1" ref="L23" ca="1">EXP(INDEX(LINEST(LN(Table134[Price]),Table134[Age]),1,2))*EXP(INDEX(LINEST(LN(Table134[Price]),Table134[Age]),1,1)*Table134[[#This Row],[Age]])/Table134[[#This Row],[Price]]</f>
        <v>1.2751921051572288</v>
      </c>
      <c r="M23" s="4">
        <f ca="1">Table134[[#This Row],[Column1]]*VALUE(SUBSTITUTE(LEFT(Table134[[#This Row],[normal price/real milage]],3),",",""))</f>
        <v>1.147672894641506</v>
      </c>
      <c r="N23" s="4"/>
    </row>
    <row r="24" spans="1:14" x14ac:dyDescent="0.25">
      <c r="A24" s="1">
        <v>45080</v>
      </c>
      <c r="B24">
        <v>62</v>
      </c>
      <c r="C24" s="5">
        <v>9980</v>
      </c>
      <c r="D24">
        <v>2013</v>
      </c>
      <c r="E24" t="s">
        <v>33</v>
      </c>
      <c r="F24" t="s">
        <v>1</v>
      </c>
      <c r="G24">
        <v>180000</v>
      </c>
      <c r="H24" s="4">
        <f>Table134[[#This Row],[Price]]/Table134[[#This Row],[Mileage]]</f>
        <v>5.5444444444444442E-2</v>
      </c>
      <c r="I24" s="3">
        <f ca="1">Table134[[#This Row],[Price]]/Table134[[#This Row],[Age]]</f>
        <v>998</v>
      </c>
      <c r="J24">
        <f ca="1">IF(YEAR(TODAY())=Table134[[#This Row],[year]],0.8,YEAR(TODAY())-Table134[[#This Row],[year]])</f>
        <v>10</v>
      </c>
      <c r="K2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1.122      1,214</v>
      </c>
      <c r="L24" s="4">
        <f t="array" aca="1" ref="L24" ca="1">EXP(INDEX(LINEST(LN(Table134[Price]),Table134[Age]),1,2))*EXP(INDEX(LINEST(LN(Table134[Price]),Table134[Age]),1,1)*Table134[[#This Row],[Age]])/Table134[[#This Row],[Price]]</f>
        <v>1.0215592064861767</v>
      </c>
      <c r="M24" s="4">
        <f ca="1">Table134[[#This Row],[Column1]]*VALUE(SUBSTITUTE(LEFT(Table134[[#This Row],[normal price/real milage]],3),",",""))</f>
        <v>1.1237151271347945</v>
      </c>
      <c r="N24" s="4"/>
    </row>
    <row r="25" spans="1:14" x14ac:dyDescent="0.25">
      <c r="A25" s="1">
        <v>45080</v>
      </c>
      <c r="B25">
        <v>22</v>
      </c>
      <c r="C25" s="5">
        <v>12995</v>
      </c>
      <c r="D25">
        <v>2015</v>
      </c>
      <c r="E25" t="s">
        <v>33</v>
      </c>
      <c r="F25" t="s">
        <v>1</v>
      </c>
      <c r="G25">
        <v>140000</v>
      </c>
      <c r="H25" s="4">
        <f>Table134[[#This Row],[Price]]/Table134[[#This Row],[Mileage]]</f>
        <v>9.2821428571428569E-2</v>
      </c>
      <c r="I25" s="3">
        <f ca="1">Table134[[#This Row],[Price]]/Table134[[#This Row],[Age]]</f>
        <v>1624.375</v>
      </c>
      <c r="J25">
        <f ca="1">IF(YEAR(TODAY())=Table134[[#This Row],[year]],0.8,YEAR(TODAY())-Table134[[#This Row],[year]])</f>
        <v>8</v>
      </c>
      <c r="K2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1.103      1,340</v>
      </c>
      <c r="L25" s="4">
        <f t="array" aca="1" ref="L25" ca="1">EXP(INDEX(LINEST(LN(Table134[Price]),Table134[Age]),1,2))*EXP(INDEX(LINEST(LN(Table134[Price]),Table134[Age]),1,1)*Table134[[#This Row],[Age]])/Table134[[#This Row],[Price]]</f>
        <v>0.98208856036647263</v>
      </c>
      <c r="M25" s="4">
        <f ca="1">Table134[[#This Row],[Column1]]*VALUE(SUBSTITUTE(LEFT(Table134[[#This Row],[normal price/real milage]],3),",",""))</f>
        <v>1.08029741640312</v>
      </c>
      <c r="N25" s="4"/>
    </row>
    <row r="26" spans="1:14" x14ac:dyDescent="0.25">
      <c r="A26" s="1">
        <v>45080</v>
      </c>
      <c r="B26">
        <v>1</v>
      </c>
      <c r="C26" s="5">
        <v>11990</v>
      </c>
      <c r="D26">
        <v>2015</v>
      </c>
      <c r="E26" t="s">
        <v>33</v>
      </c>
      <c r="F26" t="s">
        <v>2</v>
      </c>
      <c r="G26">
        <v>165000</v>
      </c>
      <c r="H26" s="4">
        <f>Table134[[#This Row],[Price]]/Table134[[#This Row],[Mileage]]</f>
        <v>7.2666666666666671E-2</v>
      </c>
      <c r="I26" s="3">
        <f ca="1">Table134[[#This Row],[Price]]/Table134[[#This Row],[Age]]</f>
        <v>1498.75</v>
      </c>
      <c r="J26">
        <f ca="1">IF(YEAR(TODAY())=Table134[[#This Row],[year]],0.8,YEAR(TODAY())-Table134[[#This Row],[year]])</f>
        <v>8</v>
      </c>
      <c r="K2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1.032      382</v>
      </c>
      <c r="L26" s="4">
        <f t="array" aca="1" ref="L26" ca="1">EXP(INDEX(LINEST(LN(Table134[Price]),Table134[Age]),1,2))*EXP(INDEX(LINEST(LN(Table134[Price]),Table134[Age]),1,1)*Table134[[#This Row],[Age]])/Table134[[#This Row],[Price]]</f>
        <v>1.0644070760602429</v>
      </c>
      <c r="M26" s="4">
        <f ca="1">Table134[[#This Row],[Column1]]*VALUE(SUBSTITUTE(LEFT(Table134[[#This Row],[normal price/real milage]],3),",",""))</f>
        <v>1.0644070760602429</v>
      </c>
      <c r="N26" s="4"/>
    </row>
    <row r="27" spans="1:14" x14ac:dyDescent="0.25">
      <c r="A27" s="1">
        <v>45080</v>
      </c>
      <c r="B27">
        <v>5</v>
      </c>
      <c r="C27" s="5">
        <v>10995</v>
      </c>
      <c r="D27">
        <v>2014</v>
      </c>
      <c r="E27" t="s">
        <v>66</v>
      </c>
      <c r="F27" t="s">
        <v>1</v>
      </c>
      <c r="G27">
        <v>176000</v>
      </c>
      <c r="H27" s="4">
        <f>Table134[[#This Row],[Price]]/Table134[[#This Row],[Mileage]]</f>
        <v>6.2471590909090907E-2</v>
      </c>
      <c r="I27" s="3">
        <f ca="1">Table134[[#This Row],[Price]]/Table134[[#This Row],[Age]]</f>
        <v>1221.6666666666667</v>
      </c>
      <c r="J27">
        <f ca="1">IF(YEAR(TODAY())=Table134[[#This Row],[year]],0.8,YEAR(TODAY())-Table134[[#This Row],[year]])</f>
        <v>9</v>
      </c>
      <c r="K2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1.047      513</v>
      </c>
      <c r="L27" s="4">
        <f t="array" aca="1" ref="L27" ca="1">EXP(INDEX(LINEST(LN(Table134[Price]),Table134[Age]),1,2))*EXP(INDEX(LINEST(LN(Table134[Price]),Table134[Age]),1,1)*Table134[[#This Row],[Age]])/Table134[[#This Row],[Price]]</f>
        <v>1.0374454637266619</v>
      </c>
      <c r="M27" s="4">
        <f ca="1">Table134[[#This Row],[Column1]]*VALUE(SUBSTITUTE(LEFT(Table134[[#This Row],[normal price/real milage]],3),",",""))</f>
        <v>1.0374454637266619</v>
      </c>
      <c r="N27" s="4"/>
    </row>
    <row r="28" spans="1:14" x14ac:dyDescent="0.25">
      <c r="A28" s="1">
        <v>45080</v>
      </c>
      <c r="B28">
        <v>68</v>
      </c>
      <c r="C28" s="5">
        <v>9995</v>
      </c>
      <c r="D28">
        <v>2013</v>
      </c>
      <c r="E28" t="s">
        <v>66</v>
      </c>
      <c r="F28" t="s">
        <v>80</v>
      </c>
      <c r="G28">
        <v>192000</v>
      </c>
      <c r="H28" s="4">
        <f>Table134[[#This Row],[Price]]/Table134[[#This Row],[Mileage]]</f>
        <v>5.2057291666666665E-2</v>
      </c>
      <c r="I28" s="3">
        <f ca="1">Table134[[#This Row],[Price]]/Table134[[#This Row],[Age]]</f>
        <v>999.5</v>
      </c>
      <c r="J28">
        <f ca="1">IF(YEAR(TODAY())=Table134[[#This Row],[year]],0.8,YEAR(TODAY())-Table134[[#This Row],[year]])</f>
        <v>10</v>
      </c>
      <c r="K2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1.026      257</v>
      </c>
      <c r="L28" s="4">
        <f t="array" aca="1" ref="L28" ca="1">EXP(INDEX(LINEST(LN(Table134[Price]),Table134[Age]),1,2))*EXP(INDEX(LINEST(LN(Table134[Price]),Table134[Age]),1,1)*Table134[[#This Row],[Age]])/Table134[[#This Row],[Price]]</f>
        <v>1.0200261011237663</v>
      </c>
      <c r="M28" s="4">
        <f ca="1">Table134[[#This Row],[Column1]]*VALUE(SUBSTITUTE(LEFT(Table134[[#This Row],[normal price/real milage]],3),",",""))</f>
        <v>1.0200261011237663</v>
      </c>
      <c r="N28" s="4"/>
    </row>
    <row r="29" spans="1:14" x14ac:dyDescent="0.25">
      <c r="A29" s="1">
        <v>45080</v>
      </c>
      <c r="B29">
        <v>67</v>
      </c>
      <c r="C29" s="5">
        <v>14999</v>
      </c>
      <c r="D29">
        <v>2015</v>
      </c>
      <c r="E29" t="s">
        <v>66</v>
      </c>
      <c r="F29" t="s">
        <v>79</v>
      </c>
      <c r="G29">
        <v>108000</v>
      </c>
      <c r="H29" s="4">
        <f>Table134[[#This Row],[Price]]/Table134[[#This Row],[Mileage]]</f>
        <v>0.13887962962962963</v>
      </c>
      <c r="I29" s="3">
        <f ca="1">Table134[[#This Row],[Price]]/Table134[[#This Row],[Age]]</f>
        <v>1874.875</v>
      </c>
      <c r="J29">
        <f ca="1">IF(YEAR(TODAY())=Table134[[#This Row],[year]],0.8,YEAR(TODAY())-Table134[[#This Row],[year]])</f>
        <v>8</v>
      </c>
      <c r="K2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1.123      1,848</v>
      </c>
      <c r="L29" s="4">
        <f t="array" aca="1" ref="L29" ca="1">EXP(INDEX(LINEST(LN(Table134[Price]),Table134[Age]),1,2))*EXP(INDEX(LINEST(LN(Table134[Price]),Table134[Age]),1,1)*Table134[[#This Row],[Age]])/Table134[[#This Row],[Price]]</f>
        <v>0.85087278098288632</v>
      </c>
      <c r="M29" s="4">
        <f ca="1">Table134[[#This Row],[Column1]]*VALUE(SUBSTITUTE(LEFT(Table134[[#This Row],[normal price/real milage]],3),",",""))</f>
        <v>0.93596005908117508</v>
      </c>
      <c r="N29" s="4"/>
    </row>
    <row r="30" spans="1:14" x14ac:dyDescent="0.25">
      <c r="A30" s="1">
        <v>45080</v>
      </c>
      <c r="B30">
        <v>10</v>
      </c>
      <c r="C30" s="5">
        <v>11985</v>
      </c>
      <c r="D30">
        <v>2013</v>
      </c>
      <c r="E30" t="s">
        <v>66</v>
      </c>
      <c r="F30" t="s">
        <v>1</v>
      </c>
      <c r="G30">
        <v>148000</v>
      </c>
      <c r="H30" s="4">
        <f>Table134[[#This Row],[Price]]/Table134[[#This Row],[Mileage]]</f>
        <v>8.0979729729729735E-2</v>
      </c>
      <c r="I30" s="3">
        <f ca="1">Table134[[#This Row],[Price]]/Table134[[#This Row],[Age]]</f>
        <v>1198.5</v>
      </c>
      <c r="J30">
        <f ca="1">IF(YEAR(TODAY())=Table134[[#This Row],[year]],0.8,YEAR(TODAY())-Table134[[#This Row],[year]])</f>
        <v>10</v>
      </c>
      <c r="K3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1.144      1,721</v>
      </c>
      <c r="L30" s="4">
        <f t="array" aca="1" ref="L30" ca="1">EXP(INDEX(LINEST(LN(Table134[Price]),Table134[Age]),1,2))*EXP(INDEX(LINEST(LN(Table134[Price]),Table134[Age]),1,1)*Table134[[#This Row],[Age]])/Table134[[#This Row],[Price]]</f>
        <v>0.85066006514243175</v>
      </c>
      <c r="M30" s="4">
        <f ca="1">Table134[[#This Row],[Column1]]*VALUE(SUBSTITUTE(LEFT(Table134[[#This Row],[normal price/real milage]],3),",",""))</f>
        <v>0.93572607165667498</v>
      </c>
      <c r="N30" s="4"/>
    </row>
    <row r="31" spans="1:14" x14ac:dyDescent="0.25">
      <c r="A31" s="1">
        <v>45080</v>
      </c>
      <c r="B31">
        <v>9</v>
      </c>
      <c r="C31" s="5">
        <v>15995</v>
      </c>
      <c r="D31">
        <v>2019</v>
      </c>
      <c r="E31" t="s">
        <v>66</v>
      </c>
      <c r="F31" t="s">
        <v>1</v>
      </c>
      <c r="G31">
        <v>176000</v>
      </c>
      <c r="H31" s="4">
        <f>Table134[[#This Row],[Price]]/Table134[[#This Row],[Mileage]]</f>
        <v>9.0880681818181819E-2</v>
      </c>
      <c r="I31" s="3">
        <f ca="1">Table134[[#This Row],[Price]]/Table134[[#This Row],[Age]]</f>
        <v>3998.75</v>
      </c>
      <c r="J31">
        <f ca="1">IF(YEAR(TODAY())=Table134[[#This Row],[year]],0.8,YEAR(TODAY())-Table134[[#This Row],[year]])</f>
        <v>4</v>
      </c>
      <c r="K3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0.719      -4,487</v>
      </c>
      <c r="L31" s="4">
        <f t="array" aca="1" ref="L31" ca="1">EXP(INDEX(LINEST(LN(Table134[Price]),Table134[Age]),1,2))*EXP(INDEX(LINEST(LN(Table134[Price]),Table134[Age]),1,1)*Table134[[#This Row],[Age]])/Table134[[#This Row],[Price]]</f>
        <v>1.25028320455727</v>
      </c>
      <c r="M31" s="4">
        <f ca="1">Table134[[#This Row],[Column1]]*VALUE(SUBSTITUTE(LEFT(Table134[[#This Row],[normal price/real milage]],3),",",""))</f>
        <v>0.87519824319008899</v>
      </c>
      <c r="N31" s="4"/>
    </row>
    <row r="32" spans="1:14" x14ac:dyDescent="0.25">
      <c r="A32" s="1">
        <v>45080</v>
      </c>
      <c r="B32">
        <v>27</v>
      </c>
      <c r="C32" s="5">
        <v>16995</v>
      </c>
      <c r="D32">
        <v>2017</v>
      </c>
      <c r="E32" t="s">
        <v>66</v>
      </c>
      <c r="F32" t="s">
        <v>13</v>
      </c>
      <c r="G32">
        <v>120000</v>
      </c>
      <c r="H32" s="4">
        <f>Table134[[#This Row],[Price]]/Table134[[#This Row],[Mileage]]</f>
        <v>0.141625</v>
      </c>
      <c r="I32" s="3">
        <f ca="1">Table134[[#This Row],[Price]]/Table134[[#This Row],[Age]]</f>
        <v>2832.5</v>
      </c>
      <c r="J32">
        <f ca="1">IF(YEAR(TODAY())=Table134[[#This Row],[year]],0.8,YEAR(TODAY())-Table134[[#This Row],[year]])</f>
        <v>6</v>
      </c>
      <c r="K3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0.936      -1,090</v>
      </c>
      <c r="L32" s="4">
        <f t="array" aca="1" ref="L32" ca="1">EXP(INDEX(LINEST(LN(Table134[Price]),Table134[Age]),1,2))*EXP(INDEX(LINEST(LN(Table134[Price]),Table134[Age]),1,1)*Table134[[#This Row],[Age]])/Table134[[#This Row],[Price]]</f>
        <v>0.94002330331744877</v>
      </c>
      <c r="M32" s="4">
        <f ca="1">Table134[[#This Row],[Column1]]*VALUE(SUBSTITUTE(LEFT(Table134[[#This Row],[normal price/real milage]],3),",",""))</f>
        <v>0.84602097298570389</v>
      </c>
      <c r="N32" s="4"/>
    </row>
    <row r="33" spans="1:14" x14ac:dyDescent="0.25">
      <c r="A33" s="1">
        <v>45080</v>
      </c>
      <c r="B33">
        <v>25</v>
      </c>
      <c r="C33" s="5">
        <v>13900</v>
      </c>
      <c r="D33">
        <v>2016</v>
      </c>
      <c r="E33" t="s">
        <v>66</v>
      </c>
      <c r="F33" t="s">
        <v>1</v>
      </c>
      <c r="G33">
        <v>180000</v>
      </c>
      <c r="H33" s="4">
        <f>Table134[[#This Row],[Price]]/Table134[[#This Row],[Mileage]]</f>
        <v>7.722222222222222E-2</v>
      </c>
      <c r="I33" s="3">
        <f ca="1">Table134[[#This Row],[Price]]/Table134[[#This Row],[Age]]</f>
        <v>1985.7142857142858</v>
      </c>
      <c r="J33">
        <f ca="1">IF(YEAR(TODAY())=Table134[[#This Row],[year]],0.8,YEAR(TODAY())-Table134[[#This Row],[year]])</f>
        <v>7</v>
      </c>
      <c r="K3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0.805      -2,706</v>
      </c>
      <c r="L33" s="4">
        <f t="array" aca="1" ref="L33" ca="1">EXP(INDEX(LINEST(LN(Table134[Price]),Table134[Age]),1,2))*EXP(INDEX(LINEST(LN(Table134[Price]),Table134[Age]),1,1)*Table134[[#This Row],[Age]])/Table134[[#This Row],[Price]]</f>
        <v>1.0272557059386094</v>
      </c>
      <c r="M33" s="4">
        <f ca="1">Table134[[#This Row],[Column1]]*VALUE(SUBSTITUTE(LEFT(Table134[[#This Row],[normal price/real milage]],3),",",""))</f>
        <v>0.82180456475088759</v>
      </c>
      <c r="N33" s="4"/>
    </row>
    <row r="34" spans="1:14" x14ac:dyDescent="0.25">
      <c r="A34" s="1">
        <v>45080</v>
      </c>
      <c r="B34">
        <v>0</v>
      </c>
      <c r="C34" s="5">
        <v>15500</v>
      </c>
      <c r="D34">
        <v>2014</v>
      </c>
      <c r="E34" t="s">
        <v>54</v>
      </c>
      <c r="F34" t="s">
        <v>1</v>
      </c>
      <c r="G34">
        <v>93000</v>
      </c>
      <c r="H34" s="4">
        <f>Table134[[#This Row],[Price]]/Table134[[#This Row],[Mileage]]</f>
        <v>0.16666666666666666</v>
      </c>
      <c r="I34" s="3">
        <f ca="1">Table134[[#This Row],[Price]]/Table134[[#This Row],[Age]]</f>
        <v>1722.2222222222222</v>
      </c>
      <c r="J34">
        <f ca="1">IF(YEAR(TODAY())=Table134[[#This Row],[year]],0.8,YEAR(TODAY())-Table134[[#This Row],[year]])</f>
        <v>9</v>
      </c>
      <c r="K3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1.163      2,525</v>
      </c>
      <c r="L34" s="4">
        <f t="array" aca="1" ref="L34" ca="1">EXP(INDEX(LINEST(LN(Table134[Price]),Table134[Age]),1,2))*EXP(INDEX(LINEST(LN(Table134[Price]),Table134[Age]),1,1)*Table134[[#This Row],[Age]])/Table134[[#This Row],[Price]]</f>
        <v>0.73591695959191272</v>
      </c>
      <c r="M34" s="4">
        <f ca="1">Table134[[#This Row],[Column1]]*VALUE(SUBSTITUTE(LEFT(Table134[[#This Row],[normal price/real milage]],3),",",""))</f>
        <v>0.80950865555110407</v>
      </c>
      <c r="N34" s="4"/>
    </row>
    <row r="35" spans="1:14" x14ac:dyDescent="0.25">
      <c r="A35" s="1">
        <v>45080</v>
      </c>
      <c r="B35">
        <v>57</v>
      </c>
      <c r="C35" s="5">
        <v>15995</v>
      </c>
      <c r="D35">
        <v>2016</v>
      </c>
      <c r="E35" t="s">
        <v>66</v>
      </c>
      <c r="F35" t="s">
        <v>1</v>
      </c>
      <c r="G35">
        <v>135000</v>
      </c>
      <c r="H35" s="4">
        <f>Table134[[#This Row],[Price]]/Table134[[#This Row],[Mileage]]</f>
        <v>0.11848148148148148</v>
      </c>
      <c r="I35" s="3">
        <f ca="1">Table134[[#This Row],[Price]]/Table134[[#This Row],[Age]]</f>
        <v>2285</v>
      </c>
      <c r="J35">
        <f ca="1">IF(YEAR(TODAY())=Table134[[#This Row],[year]],0.8,YEAR(TODAY())-Table134[[#This Row],[year]])</f>
        <v>7</v>
      </c>
      <c r="K3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0.921      -1,268</v>
      </c>
      <c r="L35" s="4">
        <f t="array" aca="1" ref="L35" ca="1">EXP(INDEX(LINEST(LN(Table134[Price]),Table134[Age]),1,2))*EXP(INDEX(LINEST(LN(Table134[Price]),Table134[Age]),1,1)*Table134[[#This Row],[Age]])/Table134[[#This Row],[Price]]</f>
        <v>0.89270736558591246</v>
      </c>
      <c r="M35" s="4">
        <f ca="1">Table134[[#This Row],[Column1]]*VALUE(SUBSTITUTE(LEFT(Table134[[#This Row],[normal price/real milage]],3),",",""))</f>
        <v>0.80343662902732127</v>
      </c>
      <c r="N35" s="4"/>
    </row>
    <row r="36" spans="1:14" x14ac:dyDescent="0.25">
      <c r="A36" s="1">
        <v>45080</v>
      </c>
      <c r="B36">
        <v>34</v>
      </c>
      <c r="C36" s="5">
        <v>19995</v>
      </c>
      <c r="D36">
        <v>2017</v>
      </c>
      <c r="E36" t="s">
        <v>73</v>
      </c>
      <c r="F36" t="s">
        <v>1</v>
      </c>
      <c r="G36">
        <v>48000</v>
      </c>
      <c r="H36" s="4">
        <f>Table134[[#This Row],[Price]]/Table134[[#This Row],[Mileage]]</f>
        <v>0.4165625</v>
      </c>
      <c r="I36" s="3">
        <f ca="1">Table134[[#This Row],[Price]]/Table134[[#This Row],[Age]]</f>
        <v>3332.5</v>
      </c>
      <c r="J36">
        <f ca="1">IF(YEAR(TODAY())=Table134[[#This Row],[year]],0.8,YEAR(TODAY())-Table134[[#This Row],[year]])</f>
        <v>6</v>
      </c>
      <c r="K3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1.078      1,563</v>
      </c>
      <c r="L36" s="4">
        <f t="array" aca="1" ref="L36" ca="1">EXP(INDEX(LINEST(LN(Table134[Price]),Table134[Age]),1,2))*EXP(INDEX(LINEST(LN(Table134[Price]),Table134[Age]),1,1)*Table134[[#This Row],[Age]])/Table134[[#This Row],[Price]]</f>
        <v>0.79898454813103481</v>
      </c>
      <c r="M36" s="4">
        <f ca="1">Table134[[#This Row],[Column1]]*VALUE(SUBSTITUTE(LEFT(Table134[[#This Row],[normal price/real milage]],3),",",""))</f>
        <v>0.79898454813103481</v>
      </c>
      <c r="N36" s="4"/>
    </row>
    <row r="37" spans="1:14" x14ac:dyDescent="0.25">
      <c r="A37" s="1">
        <v>45080</v>
      </c>
      <c r="B37">
        <v>71</v>
      </c>
      <c r="C37" s="5">
        <v>19995</v>
      </c>
      <c r="D37">
        <v>2017</v>
      </c>
      <c r="E37" t="s">
        <v>66</v>
      </c>
      <c r="F37" t="s">
        <v>1</v>
      </c>
      <c r="G37">
        <v>48000</v>
      </c>
      <c r="H37" s="4">
        <f>Table134[[#This Row],[Price]]/Table134[[#This Row],[Mileage]]</f>
        <v>0.4165625</v>
      </c>
      <c r="I37" s="3">
        <f ca="1">Table134[[#This Row],[Price]]/Table134[[#This Row],[Age]]</f>
        <v>3332.5</v>
      </c>
      <c r="J37">
        <f ca="1">IF(YEAR(TODAY())=Table134[[#This Row],[year]],0.8,YEAR(TODAY())-Table134[[#This Row],[year]])</f>
        <v>6</v>
      </c>
      <c r="K3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1.078      1,563</v>
      </c>
      <c r="L37" s="4">
        <f t="array" aca="1" ref="L37" ca="1">EXP(INDEX(LINEST(LN(Table134[Price]),Table134[Age]),1,2))*EXP(INDEX(LINEST(LN(Table134[Price]),Table134[Age]),1,1)*Table134[[#This Row],[Age]])/Table134[[#This Row],[Price]]</f>
        <v>0.79898454813103481</v>
      </c>
      <c r="M37" s="4">
        <f ca="1">Table134[[#This Row],[Column1]]*VALUE(SUBSTITUTE(LEFT(Table134[[#This Row],[normal price/real milage]],3),",",""))</f>
        <v>0.79898454813103481</v>
      </c>
      <c r="N37" s="4"/>
    </row>
    <row r="38" spans="1:14" x14ac:dyDescent="0.25">
      <c r="A38" s="1">
        <v>45080</v>
      </c>
      <c r="B38">
        <v>58</v>
      </c>
      <c r="C38" s="5">
        <v>12900</v>
      </c>
      <c r="D38">
        <v>2014</v>
      </c>
      <c r="E38" t="s">
        <v>66</v>
      </c>
      <c r="F38" t="s">
        <v>7</v>
      </c>
      <c r="G38">
        <v>163000</v>
      </c>
      <c r="H38" s="4">
        <f>Table134[[#This Row],[Price]]/Table134[[#This Row],[Mileage]]</f>
        <v>7.9141104294478529E-2</v>
      </c>
      <c r="I38" s="3">
        <f ca="1">Table134[[#This Row],[Price]]/Table134[[#This Row],[Age]]</f>
        <v>1433.3333333333333</v>
      </c>
      <c r="J38">
        <f ca="1">IF(YEAR(TODAY())=Table134[[#This Row],[year]],0.8,YEAR(TODAY())-Table134[[#This Row],[year]])</f>
        <v>9</v>
      </c>
      <c r="K3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0.971      -371</v>
      </c>
      <c r="L38" s="4">
        <f t="array" aca="1" ref="L38" ca="1">EXP(INDEX(LINEST(LN(Table134[Price]),Table134[Age]),1,2))*EXP(INDEX(LINEST(LN(Table134[Price]),Table134[Age]),1,1)*Table134[[#This Row],[Age]])/Table134[[#This Row],[Price]]</f>
        <v>0.88424130803679435</v>
      </c>
      <c r="M38" s="4">
        <f ca="1">Table134[[#This Row],[Column1]]*VALUE(SUBSTITUTE(LEFT(Table134[[#This Row],[normal price/real milage]],3),",",""))</f>
        <v>0.79581717723311496</v>
      </c>
      <c r="N38" s="4"/>
    </row>
    <row r="39" spans="1:14" x14ac:dyDescent="0.25">
      <c r="A39" s="1">
        <v>45080</v>
      </c>
      <c r="B39">
        <v>11</v>
      </c>
      <c r="C39" s="5">
        <v>12950</v>
      </c>
      <c r="D39">
        <v>2013</v>
      </c>
      <c r="E39" t="s">
        <v>54</v>
      </c>
      <c r="F39" t="s">
        <v>1</v>
      </c>
      <c r="G39">
        <v>149000</v>
      </c>
      <c r="H39" s="4">
        <f>Table134[[#This Row],[Price]]/Table134[[#This Row],[Mileage]]</f>
        <v>8.6912751677852354E-2</v>
      </c>
      <c r="I39" s="3">
        <f ca="1">Table134[[#This Row],[Price]]/Table134[[#This Row],[Age]]</f>
        <v>1295</v>
      </c>
      <c r="J39">
        <f ca="1">IF(YEAR(TODAY())=Table134[[#This Row],[year]],0.8,YEAR(TODAY())-Table134[[#This Row],[year]])</f>
        <v>10</v>
      </c>
      <c r="K3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1.052      678</v>
      </c>
      <c r="L39" s="4">
        <f t="array" aca="1" ref="L39" ca="1">EXP(INDEX(LINEST(LN(Table134[Price]),Table134[Age]),1,2))*EXP(INDEX(LINEST(LN(Table134[Price]),Table134[Age]),1,1)*Table134[[#This Row],[Age]])/Table134[[#This Row],[Price]]</f>
        <v>0.78727111048123899</v>
      </c>
      <c r="M39" s="4">
        <f ca="1">Table134[[#This Row],[Column1]]*VALUE(SUBSTITUTE(LEFT(Table134[[#This Row],[normal price/real milage]],3),",",""))</f>
        <v>0.78727111048123899</v>
      </c>
      <c r="N39" s="4"/>
    </row>
    <row r="40" spans="1:14" x14ac:dyDescent="0.25">
      <c r="A40" s="1">
        <v>45080</v>
      </c>
      <c r="B40">
        <v>8</v>
      </c>
      <c r="C40" s="5">
        <v>14600</v>
      </c>
      <c r="D40">
        <v>2014</v>
      </c>
      <c r="E40" t="s">
        <v>54</v>
      </c>
      <c r="F40" t="s">
        <v>1</v>
      </c>
      <c r="G40">
        <v>126000</v>
      </c>
      <c r="H40" s="4">
        <f>Table134[[#This Row],[Price]]/Table134[[#This Row],[Mileage]]</f>
        <v>0.11587301587301588</v>
      </c>
      <c r="I40" s="3">
        <f ca="1">Table134[[#This Row],[Price]]/Table134[[#This Row],[Age]]</f>
        <v>1622.2222222222222</v>
      </c>
      <c r="J40">
        <f ca="1">IF(YEAR(TODAY())=Table134[[#This Row],[year]],0.8,YEAR(TODAY())-Table134[[#This Row],[year]])</f>
        <v>9</v>
      </c>
      <c r="K4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1.057      834</v>
      </c>
      <c r="L40" s="4">
        <f t="array" aca="1" ref="L40" ca="1">EXP(INDEX(LINEST(LN(Table134[Price]),Table134[Age]),1,2))*EXP(INDEX(LINEST(LN(Table134[Price]),Table134[Age]),1,1)*Table134[[#This Row],[Age]])/Table134[[#This Row],[Price]]</f>
        <v>0.78128170367634575</v>
      </c>
      <c r="M40" s="4">
        <f ca="1">Table134[[#This Row],[Column1]]*VALUE(SUBSTITUTE(LEFT(Table134[[#This Row],[normal price/real milage]],3),",",""))</f>
        <v>0.78128170367634575</v>
      </c>
      <c r="N40" s="4"/>
    </row>
    <row r="41" spans="1:14" x14ac:dyDescent="0.25">
      <c r="A41" s="1">
        <v>45080</v>
      </c>
      <c r="B41">
        <v>53</v>
      </c>
      <c r="C41" s="5">
        <v>14700</v>
      </c>
      <c r="D41">
        <v>2013</v>
      </c>
      <c r="E41" t="s">
        <v>54</v>
      </c>
      <c r="F41" t="s">
        <v>9</v>
      </c>
      <c r="G41">
        <v>109000</v>
      </c>
      <c r="H41" s="4">
        <f>Table134[[#This Row],[Price]]/Table134[[#This Row],[Mileage]]</f>
        <v>0.13486238532110092</v>
      </c>
      <c r="I41" s="3">
        <f ca="1">Table134[[#This Row],[Price]]/Table134[[#This Row],[Age]]</f>
        <v>1470</v>
      </c>
      <c r="J41">
        <f ca="1">IF(YEAR(TODAY())=Table134[[#This Row],[year]],0.8,YEAR(TODAY())-Table134[[#This Row],[year]])</f>
        <v>10</v>
      </c>
      <c r="K4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1.141      2,069</v>
      </c>
      <c r="L41" s="4">
        <f t="array" aca="1" ref="L41" ca="1">EXP(INDEX(LINEST(LN(Table134[Price]),Table134[Age]),1,2))*EXP(INDEX(LINEST(LN(Table134[Price]),Table134[Age]),1,1)*Table134[[#This Row],[Age]])/Table134[[#This Row],[Price]]</f>
        <v>0.69354835923347247</v>
      </c>
      <c r="M41" s="4">
        <f ca="1">Table134[[#This Row],[Column1]]*VALUE(SUBSTITUTE(LEFT(Table134[[#This Row],[normal price/real milage]],3),",",""))</f>
        <v>0.76290319515681981</v>
      </c>
      <c r="N41" s="4"/>
    </row>
    <row r="42" spans="1:14" x14ac:dyDescent="0.25">
      <c r="A42" s="1">
        <v>45080</v>
      </c>
      <c r="B42">
        <v>18</v>
      </c>
      <c r="C42" s="5">
        <v>17500</v>
      </c>
      <c r="D42">
        <v>2015</v>
      </c>
      <c r="E42" t="s">
        <v>69</v>
      </c>
      <c r="F42" t="s">
        <v>1</v>
      </c>
      <c r="G42">
        <v>96000</v>
      </c>
      <c r="H42" s="4">
        <f>Table134[[#This Row],[Price]]/Table134[[#This Row],[Mileage]]</f>
        <v>0.18229166666666666</v>
      </c>
      <c r="I42" s="3">
        <f ca="1">Table134[[#This Row],[Price]]/Table134[[#This Row],[Age]]</f>
        <v>2187.5</v>
      </c>
      <c r="J42">
        <f ca="1">IF(YEAR(TODAY())=Table134[[#This Row],[year]],0.8,YEAR(TODAY())-Table134[[#This Row],[year]])</f>
        <v>8</v>
      </c>
      <c r="K4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1.017      289</v>
      </c>
      <c r="L42" s="4">
        <f t="array" aca="1" ref="L42" ca="1">EXP(INDEX(LINEST(LN(Table134[Price]),Table134[Age]),1,2))*EXP(INDEX(LINEST(LN(Table134[Price]),Table134[Age]),1,1)*Table134[[#This Row],[Age]])/Table134[[#This Row],[Price]]</f>
        <v>0.72927090525498928</v>
      </c>
      <c r="M42" s="4">
        <f ca="1">Table134[[#This Row],[Column1]]*VALUE(SUBSTITUTE(LEFT(Table134[[#This Row],[normal price/real milage]],3),",",""))</f>
        <v>0.72927090525498928</v>
      </c>
      <c r="N42" s="4"/>
    </row>
    <row r="43" spans="1:14" x14ac:dyDescent="0.25">
      <c r="A43" s="1">
        <v>45080</v>
      </c>
      <c r="B43">
        <v>55</v>
      </c>
      <c r="C43" s="5">
        <v>13985</v>
      </c>
      <c r="D43">
        <v>2013</v>
      </c>
      <c r="E43" t="s">
        <v>66</v>
      </c>
      <c r="F43" t="s">
        <v>42</v>
      </c>
      <c r="G43">
        <v>132000</v>
      </c>
      <c r="H43" s="4">
        <f>Table134[[#This Row],[Price]]/Table134[[#This Row],[Mileage]]</f>
        <v>0.10594696969696969</v>
      </c>
      <c r="I43" s="3">
        <f ca="1">Table134[[#This Row],[Price]]/Table134[[#This Row],[Age]]</f>
        <v>1398.5</v>
      </c>
      <c r="J43">
        <f ca="1">IF(YEAR(TODAY())=Table134[[#This Row],[year]],0.8,YEAR(TODAY())-Table134[[#This Row],[year]])</f>
        <v>10</v>
      </c>
      <c r="K4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1.070      978</v>
      </c>
      <c r="L43" s="4">
        <f t="array" aca="1" ref="L43" ca="1">EXP(INDEX(LINEST(LN(Table134[Price]),Table134[Age]),1,2))*EXP(INDEX(LINEST(LN(Table134[Price]),Table134[Age]),1,1)*Table134[[#This Row],[Age]])/Table134[[#This Row],[Price]]</f>
        <v>0.72900685596939896</v>
      </c>
      <c r="M43" s="4">
        <f ca="1">Table134[[#This Row],[Column1]]*VALUE(SUBSTITUTE(LEFT(Table134[[#This Row],[normal price/real milage]],3),",",""))</f>
        <v>0.72900685596939896</v>
      </c>
      <c r="N43" s="4"/>
    </row>
    <row r="44" spans="1:14" x14ac:dyDescent="0.25">
      <c r="A44" s="1">
        <v>45080</v>
      </c>
      <c r="B44">
        <v>65</v>
      </c>
      <c r="C44" s="5">
        <v>17900</v>
      </c>
      <c r="D44">
        <v>2016</v>
      </c>
      <c r="E44" t="s">
        <v>66</v>
      </c>
      <c r="F44" t="s">
        <v>7</v>
      </c>
      <c r="G44">
        <v>98000</v>
      </c>
      <c r="H44" s="4">
        <f>Table134[[#This Row],[Price]]/Table134[[#This Row],[Mileage]]</f>
        <v>0.18265306122448979</v>
      </c>
      <c r="I44" s="3">
        <f ca="1">Table134[[#This Row],[Price]]/Table134[[#This Row],[Age]]</f>
        <v>2557.1428571428573</v>
      </c>
      <c r="J44">
        <f ca="1">IF(YEAR(TODAY())=Table134[[#This Row],[year]],0.8,YEAR(TODAY())-Table134[[#This Row],[year]])</f>
        <v>7</v>
      </c>
      <c r="K4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0.985      -268</v>
      </c>
      <c r="L44" s="4">
        <f t="array" aca="1" ref="L44" ca="1">EXP(INDEX(LINEST(LN(Table134[Price]),Table134[Age]),1,2))*EXP(INDEX(LINEST(LN(Table134[Price]),Table134[Age]),1,1)*Table134[[#This Row],[Age]])/Table134[[#This Row],[Price]]</f>
        <v>0.79770135824283073</v>
      </c>
      <c r="M44" s="4">
        <f ca="1">Table134[[#This Row],[Column1]]*VALUE(SUBSTITUTE(LEFT(Table134[[#This Row],[normal price/real milage]],3),",",""))</f>
        <v>0.71793122241854768</v>
      </c>
      <c r="N44" s="4"/>
    </row>
    <row r="45" spans="1:14" x14ac:dyDescent="0.25">
      <c r="A45" s="1">
        <v>45080</v>
      </c>
      <c r="B45">
        <v>42</v>
      </c>
      <c r="C45" s="5">
        <v>16000</v>
      </c>
      <c r="D45">
        <v>2014</v>
      </c>
      <c r="E45" t="s">
        <v>66</v>
      </c>
      <c r="F45" t="s">
        <v>7</v>
      </c>
      <c r="G45">
        <v>106000</v>
      </c>
      <c r="H45" s="4">
        <f>Table134[[#This Row],[Price]]/Table134[[#This Row],[Mileage]]</f>
        <v>0.15094339622641509</v>
      </c>
      <c r="I45" s="3">
        <f ca="1">Table134[[#This Row],[Price]]/Table134[[#This Row],[Age]]</f>
        <v>1777.7777777777778</v>
      </c>
      <c r="J45">
        <f ca="1">IF(YEAR(TODAY())=Table134[[#This Row],[year]],0.8,YEAR(TODAY())-Table134[[#This Row],[year]])</f>
        <v>9</v>
      </c>
      <c r="K4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1.063      1,004</v>
      </c>
      <c r="L45" s="4">
        <f t="array" aca="1" ref="L45" ca="1">EXP(INDEX(LINEST(LN(Table134[Price]),Table134[Age]),1,2))*EXP(INDEX(LINEST(LN(Table134[Price]),Table134[Age]),1,1)*Table134[[#This Row],[Age]])/Table134[[#This Row],[Price]]</f>
        <v>0.7129195546046655</v>
      </c>
      <c r="M45" s="4">
        <f ca="1">Table134[[#This Row],[Column1]]*VALUE(SUBSTITUTE(LEFT(Table134[[#This Row],[normal price/real milage]],3),",",""))</f>
        <v>0.7129195546046655</v>
      </c>
      <c r="N45" s="4"/>
    </row>
    <row r="46" spans="1:14" x14ac:dyDescent="0.25">
      <c r="A46" s="1">
        <v>45080</v>
      </c>
      <c r="B46">
        <v>35</v>
      </c>
      <c r="C46" s="5">
        <v>15999</v>
      </c>
      <c r="D46">
        <v>2017</v>
      </c>
      <c r="E46" t="s">
        <v>74</v>
      </c>
      <c r="F46" t="s">
        <v>1</v>
      </c>
      <c r="G46">
        <v>170000</v>
      </c>
      <c r="H46" s="4">
        <f>Table134[[#This Row],[Price]]/Table134[[#This Row],[Mileage]]</f>
        <v>9.4111764705882353E-2</v>
      </c>
      <c r="I46" s="3">
        <f ca="1">Table134[[#This Row],[Price]]/Table134[[#This Row],[Age]]</f>
        <v>2666.5</v>
      </c>
      <c r="J46">
        <f ca="1">IF(YEAR(TODAY())=Table134[[#This Row],[year]],0.8,YEAR(TODAY())-Table134[[#This Row],[year]])</f>
        <v>6</v>
      </c>
      <c r="K4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0.749      -4,020</v>
      </c>
      <c r="L46" s="4">
        <f t="array" aca="1" ref="L46" ca="1">EXP(INDEX(LINEST(LN(Table134[Price]),Table134[Age]),1,2))*EXP(INDEX(LINEST(LN(Table134[Price]),Table134[Age]),1,1)*Table134[[#This Row],[Age]])/Table134[[#This Row],[Price]]</f>
        <v>0.99854341145571857</v>
      </c>
      <c r="M46" s="4">
        <f ca="1">Table134[[#This Row],[Column1]]*VALUE(SUBSTITUTE(LEFT(Table134[[#This Row],[normal price/real milage]],3),",",""))</f>
        <v>0.69898038801900297</v>
      </c>
      <c r="N46" s="4"/>
    </row>
    <row r="47" spans="1:14" x14ac:dyDescent="0.25">
      <c r="A47" s="1">
        <v>45080</v>
      </c>
      <c r="B47">
        <v>45</v>
      </c>
      <c r="C47" s="5">
        <v>9999</v>
      </c>
      <c r="D47">
        <v>2014</v>
      </c>
      <c r="E47" t="s">
        <v>66</v>
      </c>
      <c r="F47" t="s">
        <v>1</v>
      </c>
      <c r="G47">
        <v>238000</v>
      </c>
      <c r="H47" s="4">
        <f>Table134[[#This Row],[Price]]/Table134[[#This Row],[Mileage]]</f>
        <v>4.2012605042016808E-2</v>
      </c>
      <c r="I47" s="3">
        <f ca="1">Table134[[#This Row],[Price]]/Table134[[#This Row],[Age]]</f>
        <v>1111</v>
      </c>
      <c r="J47">
        <f ca="1">IF(YEAR(TODAY())=Table134[[#This Row],[year]],0.8,YEAR(TODAY())-Table134[[#This Row],[year]])</f>
        <v>9</v>
      </c>
      <c r="K4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0.664      -3,359</v>
      </c>
      <c r="L47" s="4">
        <f t="array" aca="1" ref="L47" ca="1">EXP(INDEX(LINEST(LN(Table134[Price]),Table134[Age]),1,2))*EXP(INDEX(LINEST(LN(Table134[Price]),Table134[Age]),1,1)*Table134[[#This Row],[Age]])/Table134[[#This Row],[Price]]</f>
        <v>1.1407853659040552</v>
      </c>
      <c r="M47" s="4">
        <f ca="1">Table134[[#This Row],[Column1]]*VALUE(SUBSTITUTE(LEFT(Table134[[#This Row],[normal price/real milage]],3),",",""))</f>
        <v>0.68447121954243306</v>
      </c>
      <c r="N47" s="4"/>
    </row>
    <row r="48" spans="1:14" x14ac:dyDescent="0.25">
      <c r="A48" s="1">
        <v>45080</v>
      </c>
      <c r="B48">
        <v>50</v>
      </c>
      <c r="C48" s="5">
        <v>14995</v>
      </c>
      <c r="D48">
        <v>2015</v>
      </c>
      <c r="E48" t="s">
        <v>76</v>
      </c>
      <c r="F48" t="s">
        <v>9</v>
      </c>
      <c r="G48">
        <v>153000</v>
      </c>
      <c r="H48" s="4">
        <f>Table134[[#This Row],[Price]]/Table134[[#This Row],[Mileage]]</f>
        <v>9.8006535947712414E-2</v>
      </c>
      <c r="I48" s="3">
        <f ca="1">Table134[[#This Row],[Price]]/Table134[[#This Row],[Age]]</f>
        <v>1874.375</v>
      </c>
      <c r="J48">
        <f ca="1">IF(YEAR(TODAY())=Table134[[#This Row],[year]],0.8,YEAR(TODAY())-Table134[[#This Row],[year]])</f>
        <v>8</v>
      </c>
      <c r="K4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0.888      -1,681</v>
      </c>
      <c r="L48" s="4">
        <f t="array" aca="1" ref="L48" ca="1">EXP(INDEX(LINEST(LN(Table134[Price]),Table134[Age]),1,2))*EXP(INDEX(LINEST(LN(Table134[Price]),Table134[Age]),1,1)*Table134[[#This Row],[Age]])/Table134[[#This Row],[Price]]</f>
        <v>0.85109975604950394</v>
      </c>
      <c r="M48" s="4">
        <f ca="1">Table134[[#This Row],[Column1]]*VALUE(SUBSTITUTE(LEFT(Table134[[#This Row],[normal price/real milage]],3),",",""))</f>
        <v>0.6808798048396032</v>
      </c>
      <c r="N48" s="4"/>
    </row>
    <row r="49" spans="1:14" x14ac:dyDescent="0.25">
      <c r="A49" s="1">
        <v>45080</v>
      </c>
      <c r="B49">
        <v>51</v>
      </c>
      <c r="C49" s="5">
        <v>17000</v>
      </c>
      <c r="D49">
        <v>2014</v>
      </c>
      <c r="E49" t="s">
        <v>66</v>
      </c>
      <c r="F49" t="s">
        <v>1</v>
      </c>
      <c r="G49">
        <v>94000</v>
      </c>
      <c r="H49" s="4">
        <f>Table134[[#This Row],[Price]]/Table134[[#This Row],[Mileage]]</f>
        <v>0.18085106382978725</v>
      </c>
      <c r="I49" s="3">
        <f ca="1">Table134[[#This Row],[Price]]/Table134[[#This Row],[Age]]</f>
        <v>1888.8888888888889</v>
      </c>
      <c r="J49">
        <f ca="1">IF(YEAR(TODAY())=Table134[[#This Row],[year]],0.8,YEAR(TODAY())-Table134[[#This Row],[year]])</f>
        <v>9</v>
      </c>
      <c r="K4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1.056      946</v>
      </c>
      <c r="L49" s="4">
        <f t="array" aca="1" ref="L49" ca="1">EXP(INDEX(LINEST(LN(Table134[Price]),Table134[Age]),1,2))*EXP(INDEX(LINEST(LN(Table134[Price]),Table134[Age]),1,1)*Table134[[#This Row],[Age]])/Table134[[#This Row],[Price]]</f>
        <v>0.67098311021615575</v>
      </c>
      <c r="M49" s="4">
        <f ca="1">Table134[[#This Row],[Column1]]*VALUE(SUBSTITUTE(LEFT(Table134[[#This Row],[normal price/real milage]],3),",",""))</f>
        <v>0.67098311021615575</v>
      </c>
      <c r="N49" s="4"/>
    </row>
    <row r="50" spans="1:14" x14ac:dyDescent="0.25">
      <c r="A50" s="1">
        <v>45080</v>
      </c>
      <c r="B50">
        <v>61</v>
      </c>
      <c r="C50" s="5">
        <v>22000</v>
      </c>
      <c r="D50">
        <v>2017</v>
      </c>
      <c r="E50" t="s">
        <v>66</v>
      </c>
      <c r="F50" t="s">
        <v>78</v>
      </c>
      <c r="G50">
        <v>68000</v>
      </c>
      <c r="H50" s="4">
        <f>Table134[[#This Row],[Price]]/Table134[[#This Row],[Mileage]]</f>
        <v>0.3235294117647059</v>
      </c>
      <c r="I50" s="3">
        <f ca="1">Table134[[#This Row],[Price]]/Table134[[#This Row],[Age]]</f>
        <v>3666.6666666666665</v>
      </c>
      <c r="J50">
        <f ca="1">IF(YEAR(TODAY())=Table134[[#This Row],[year]],0.8,YEAR(TODAY())-Table134[[#This Row],[year]])</f>
        <v>6</v>
      </c>
      <c r="K5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0.909      -2,012</v>
      </c>
      <c r="L50" s="4">
        <f t="array" aca="1" ref="L50" ca="1">EXP(INDEX(LINEST(LN(Table134[Price]),Table134[Age]),1,2))*EXP(INDEX(LINEST(LN(Table134[Price]),Table134[Age]),1,1)*Table134[[#This Row],[Age]])/Table134[[#This Row],[Price]]</f>
        <v>0.72616800181272922</v>
      </c>
      <c r="M50" s="4">
        <f ca="1">Table134[[#This Row],[Column1]]*VALUE(SUBSTITUTE(LEFT(Table134[[#This Row],[normal price/real milage]],3),",",""))</f>
        <v>0.6535512016314563</v>
      </c>
      <c r="N50" s="4"/>
    </row>
    <row r="51" spans="1:14" x14ac:dyDescent="0.25">
      <c r="A51" s="1">
        <v>45080</v>
      </c>
      <c r="B51">
        <v>39</v>
      </c>
      <c r="C51" s="5">
        <v>12500</v>
      </c>
      <c r="D51">
        <v>2013</v>
      </c>
      <c r="E51" t="s">
        <v>66</v>
      </c>
      <c r="F51" t="s">
        <v>1</v>
      </c>
      <c r="G51">
        <v>194000</v>
      </c>
      <c r="H51" s="4">
        <f>Table134[[#This Row],[Price]]/Table134[[#This Row],[Mileage]]</f>
        <v>6.4432989690721643E-2</v>
      </c>
      <c r="I51" s="3">
        <f ca="1">Table134[[#This Row],[Price]]/Table134[[#This Row],[Age]]</f>
        <v>1250</v>
      </c>
      <c r="J51">
        <f ca="1">IF(YEAR(TODAY())=Table134[[#This Row],[year]],0.8,YEAR(TODAY())-Table134[[#This Row],[year]])</f>
        <v>10</v>
      </c>
      <c r="K5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0.808      -2,405</v>
      </c>
      <c r="L51" s="4">
        <f t="array" aca="1" ref="L51" ca="1">EXP(INDEX(LINEST(LN(Table134[Price]),Table134[Age]),1,2))*EXP(INDEX(LINEST(LN(Table134[Price]),Table134[Age]),1,1)*Table134[[#This Row],[Age]])/Table134[[#This Row],[Price]]</f>
        <v>0.81561287045856357</v>
      </c>
      <c r="M51" s="4">
        <f ca="1">Table134[[#This Row],[Column1]]*VALUE(SUBSTITUTE(LEFT(Table134[[#This Row],[normal price/real milage]],3),",",""))</f>
        <v>0.65249029636685085</v>
      </c>
      <c r="N51" s="4"/>
    </row>
    <row r="52" spans="1:14" x14ac:dyDescent="0.25">
      <c r="A52" s="1">
        <v>45080</v>
      </c>
      <c r="B52">
        <v>63</v>
      </c>
      <c r="C52" s="5">
        <v>19675</v>
      </c>
      <c r="D52">
        <v>2017</v>
      </c>
      <c r="E52" t="s">
        <v>66</v>
      </c>
      <c r="F52" t="s">
        <v>64</v>
      </c>
      <c r="G52">
        <v>111000</v>
      </c>
      <c r="H52" s="4">
        <f>Table134[[#This Row],[Price]]/Table134[[#This Row],[Mileage]]</f>
        <v>0.17725225225225225</v>
      </c>
      <c r="I52" s="3">
        <f ca="1">Table134[[#This Row],[Price]]/Table134[[#This Row],[Age]]</f>
        <v>3279.1666666666665</v>
      </c>
      <c r="J52">
        <f ca="1">IF(YEAR(TODAY())=Table134[[#This Row],[year]],0.8,YEAR(TODAY())-Table134[[#This Row],[year]])</f>
        <v>6</v>
      </c>
      <c r="K5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0.844      -3,063</v>
      </c>
      <c r="L52" s="4">
        <f t="array" aca="1" ref="L52" ca="1">EXP(INDEX(LINEST(LN(Table134[Price]),Table134[Age]),1,2))*EXP(INDEX(LINEST(LN(Table134[Price]),Table134[Age]),1,1)*Table134[[#This Row],[Age]])/Table134[[#This Row],[Price]]</f>
        <v>0.81197946835476709</v>
      </c>
      <c r="M52" s="4">
        <f ca="1">Table134[[#This Row],[Column1]]*VALUE(SUBSTITUTE(LEFT(Table134[[#This Row],[normal price/real milage]],3),",",""))</f>
        <v>0.64958357468381367</v>
      </c>
      <c r="N52" s="4"/>
    </row>
    <row r="53" spans="1:14" x14ac:dyDescent="0.25">
      <c r="A53" s="1">
        <v>45080</v>
      </c>
      <c r="B53">
        <v>23</v>
      </c>
      <c r="C53" s="5">
        <v>10995</v>
      </c>
      <c r="D53">
        <v>2013</v>
      </c>
      <c r="E53" t="s">
        <v>66</v>
      </c>
      <c r="F53" t="s">
        <v>1</v>
      </c>
      <c r="G53">
        <v>211000</v>
      </c>
      <c r="H53" s="4">
        <f>Table134[[#This Row],[Price]]/Table134[[#This Row],[Mileage]]</f>
        <v>5.2109004739336495E-2</v>
      </c>
      <c r="I53" s="3">
        <f ca="1">Table134[[#This Row],[Price]]/Table134[[#This Row],[Age]]</f>
        <v>1099.5</v>
      </c>
      <c r="J53">
        <f ca="1">IF(YEAR(TODAY())=Table134[[#This Row],[year]],0.8,YEAR(TODAY())-Table134[[#This Row],[year]])</f>
        <v>10</v>
      </c>
      <c r="K5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0.797      -2,235</v>
      </c>
      <c r="L53" s="4">
        <f t="array" aca="1" ref="L53" ca="1">EXP(INDEX(LINEST(LN(Table134[Price]),Table134[Age]),1,2))*EXP(INDEX(LINEST(LN(Table134[Price]),Table134[Age]),1,1)*Table134[[#This Row],[Age]])/Table134[[#This Row],[Price]]</f>
        <v>0.92725428656044062</v>
      </c>
      <c r="M53" s="4">
        <f ca="1">Table134[[#This Row],[Column1]]*VALUE(SUBSTITUTE(LEFT(Table134[[#This Row],[normal price/real milage]],3),",",""))</f>
        <v>0.64907800059230836</v>
      </c>
      <c r="N53" s="4"/>
    </row>
    <row r="54" spans="1:14" x14ac:dyDescent="0.25">
      <c r="A54" s="1">
        <v>45080</v>
      </c>
      <c r="B54">
        <v>52</v>
      </c>
      <c r="C54" s="5">
        <v>17950</v>
      </c>
      <c r="D54">
        <v>2017</v>
      </c>
      <c r="E54" t="s">
        <v>66</v>
      </c>
      <c r="F54" t="s">
        <v>1</v>
      </c>
      <c r="G54">
        <v>162000</v>
      </c>
      <c r="H54" s="4">
        <f>Table134[[#This Row],[Price]]/Table134[[#This Row],[Mileage]]</f>
        <v>0.11080246913580247</v>
      </c>
      <c r="I54" s="3">
        <f ca="1">Table134[[#This Row],[Price]]/Table134[[#This Row],[Age]]</f>
        <v>2991.6666666666665</v>
      </c>
      <c r="J54">
        <f ca="1">IF(YEAR(TODAY())=Table134[[#This Row],[year]],0.8,YEAR(TODAY())-Table134[[#This Row],[year]])</f>
        <v>6</v>
      </c>
      <c r="K5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0.702      -5,343</v>
      </c>
      <c r="L54" s="4">
        <f t="array" aca="1" ref="L54" ca="1">EXP(INDEX(LINEST(LN(Table134[Price]),Table134[Age]),1,2))*EXP(INDEX(LINEST(LN(Table134[Price]),Table134[Age]),1,1)*Table134[[#This Row],[Age]])/Table134[[#This Row],[Price]]</f>
        <v>0.89001092144178506</v>
      </c>
      <c r="M54" s="4">
        <f ca="1">Table134[[#This Row],[Column1]]*VALUE(SUBSTITUTE(LEFT(Table134[[#This Row],[normal price/real milage]],3),",",""))</f>
        <v>0.62300764500924954</v>
      </c>
      <c r="N54" s="4"/>
    </row>
    <row r="55" spans="1:14" x14ac:dyDescent="0.25">
      <c r="A55" s="1">
        <v>45080</v>
      </c>
      <c r="B55">
        <v>70</v>
      </c>
      <c r="C55" s="5">
        <v>20901</v>
      </c>
      <c r="D55">
        <v>2017</v>
      </c>
      <c r="E55" t="s">
        <v>66</v>
      </c>
      <c r="F55" t="s">
        <v>65</v>
      </c>
      <c r="G55">
        <v>108000</v>
      </c>
      <c r="H55" s="4">
        <f>Table134[[#This Row],[Price]]/Table134[[#This Row],[Mileage]]</f>
        <v>0.19352777777777777</v>
      </c>
      <c r="I55" s="3">
        <f ca="1">Table134[[#This Row],[Price]]/Table134[[#This Row],[Age]]</f>
        <v>3483.5</v>
      </c>
      <c r="J55">
        <f ca="1">IF(YEAR(TODAY())=Table134[[#This Row],[year]],0.8,YEAR(TODAY())-Table134[[#This Row],[year]])</f>
        <v>6</v>
      </c>
      <c r="K5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0.806      -4,054</v>
      </c>
      <c r="L55" s="4">
        <f t="array" aca="1" ref="L55" ca="1">EXP(INDEX(LINEST(LN(Table134[Price]),Table134[Age]),1,2))*EXP(INDEX(LINEST(LN(Table134[Price]),Table134[Age]),1,1)*Table134[[#This Row],[Age]])/Table134[[#This Row],[Price]]</f>
        <v>0.76435079852064691</v>
      </c>
      <c r="M55" s="4">
        <f ca="1">Table134[[#This Row],[Column1]]*VALUE(SUBSTITUTE(LEFT(Table134[[#This Row],[normal price/real milage]],3),",",""))</f>
        <v>0.6114806388165176</v>
      </c>
      <c r="N55" s="4"/>
    </row>
    <row r="56" spans="1:14" x14ac:dyDescent="0.25">
      <c r="A56" s="1">
        <v>45080</v>
      </c>
      <c r="B56">
        <v>44</v>
      </c>
      <c r="C56" s="5">
        <v>13700</v>
      </c>
      <c r="D56">
        <v>2013</v>
      </c>
      <c r="E56" t="s">
        <v>66</v>
      </c>
      <c r="F56" t="s">
        <v>67</v>
      </c>
      <c r="G56">
        <v>167000</v>
      </c>
      <c r="H56" s="4">
        <f>Table134[[#This Row],[Price]]/Table134[[#This Row],[Mileage]]</f>
        <v>8.2035928143712578E-2</v>
      </c>
      <c r="I56" s="3">
        <f ca="1">Table134[[#This Row],[Price]]/Table134[[#This Row],[Age]]</f>
        <v>1370</v>
      </c>
      <c r="J56">
        <f ca="1">IF(YEAR(TODAY())=Table134[[#This Row],[year]],0.8,YEAR(TODAY())-Table134[[#This Row],[year]])</f>
        <v>10</v>
      </c>
      <c r="K5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0.892      -1,485</v>
      </c>
      <c r="L56" s="4">
        <f t="array" aca="1" ref="L56" ca="1">EXP(INDEX(LINEST(LN(Table134[Price]),Table134[Age]),1,2))*EXP(INDEX(LINEST(LN(Table134[Price]),Table134[Age]),1,1)*Table134[[#This Row],[Age]])/Table134[[#This Row],[Price]]</f>
        <v>0.74417232706073322</v>
      </c>
      <c r="M56" s="4">
        <f ca="1">Table134[[#This Row],[Column1]]*VALUE(SUBSTITUTE(LEFT(Table134[[#This Row],[normal price/real milage]],3),",",""))</f>
        <v>0.5953378616485866</v>
      </c>
      <c r="N56" s="4"/>
    </row>
    <row r="57" spans="1:14" x14ac:dyDescent="0.25">
      <c r="A57" s="1">
        <v>45080</v>
      </c>
      <c r="B57">
        <v>41</v>
      </c>
      <c r="C57" s="5">
        <v>18950</v>
      </c>
      <c r="D57">
        <v>2017</v>
      </c>
      <c r="E57" t="s">
        <v>66</v>
      </c>
      <c r="F57" t="s">
        <v>1</v>
      </c>
      <c r="G57">
        <v>144000</v>
      </c>
      <c r="H57" s="4">
        <f>Table134[[#This Row],[Price]]/Table134[[#This Row],[Mileage]]</f>
        <v>0.13159722222222223</v>
      </c>
      <c r="I57" s="3">
        <f ca="1">Table134[[#This Row],[Price]]/Table134[[#This Row],[Age]]</f>
        <v>3158.3333333333335</v>
      </c>
      <c r="J57">
        <f ca="1">IF(YEAR(TODAY())=Table134[[#This Row],[year]],0.8,YEAR(TODAY())-Table134[[#This Row],[year]])</f>
        <v>6</v>
      </c>
      <c r="K5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0.740      -4,929</v>
      </c>
      <c r="L57" s="4">
        <f t="array" aca="1" ref="L57" ca="1">EXP(INDEX(LINEST(LN(Table134[Price]),Table134[Age]),1,2))*EXP(INDEX(LINEST(LN(Table134[Price]),Table134[Age]),1,1)*Table134[[#This Row],[Age]])/Table134[[#This Row],[Price]]</f>
        <v>0.84304464590396</v>
      </c>
      <c r="M57" s="4">
        <f ca="1">Table134[[#This Row],[Column1]]*VALUE(SUBSTITUTE(LEFT(Table134[[#This Row],[normal price/real milage]],3),",",""))</f>
        <v>0.59013125213277196</v>
      </c>
      <c r="N57" s="4"/>
    </row>
    <row r="58" spans="1:14" x14ac:dyDescent="0.25">
      <c r="A58" s="1">
        <v>45080</v>
      </c>
      <c r="B58">
        <v>54</v>
      </c>
      <c r="C58" s="5">
        <v>13900</v>
      </c>
      <c r="D58">
        <v>2013</v>
      </c>
      <c r="E58" t="s">
        <v>66</v>
      </c>
      <c r="F58" t="s">
        <v>9</v>
      </c>
      <c r="G58">
        <v>167000</v>
      </c>
      <c r="H58" s="4">
        <f>Table134[[#This Row],[Price]]/Table134[[#This Row],[Mileage]]</f>
        <v>8.3233532934131743E-2</v>
      </c>
      <c r="I58" s="3">
        <f ca="1">Table134[[#This Row],[Price]]/Table134[[#This Row],[Age]]</f>
        <v>1390</v>
      </c>
      <c r="J58">
        <f ca="1">IF(YEAR(TODAY())=Table134[[#This Row],[year]],0.8,YEAR(TODAY())-Table134[[#This Row],[year]])</f>
        <v>10</v>
      </c>
      <c r="K5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0.879      -1,685</v>
      </c>
      <c r="L58" s="4">
        <f t="array" aca="1" ref="L58" ca="1">EXP(INDEX(LINEST(LN(Table134[Price]),Table134[Age]),1,2))*EXP(INDEX(LINEST(LN(Table134[Price]),Table134[Age]),1,1)*Table134[[#This Row],[Age]])/Table134[[#This Row],[Price]]</f>
        <v>0.73346481156345644</v>
      </c>
      <c r="M58" s="4">
        <f ca="1">Table134[[#This Row],[Column1]]*VALUE(SUBSTITUTE(LEFT(Table134[[#This Row],[normal price/real milage]],3),",",""))</f>
        <v>0.5867718492507652</v>
      </c>
      <c r="N58" s="4"/>
    </row>
    <row r="59" spans="1:14" x14ac:dyDescent="0.25">
      <c r="A59" s="1">
        <v>45080</v>
      </c>
      <c r="B59">
        <v>29</v>
      </c>
      <c r="C59" s="5">
        <v>22500</v>
      </c>
      <c r="D59">
        <v>2017</v>
      </c>
      <c r="E59" t="s">
        <v>66</v>
      </c>
      <c r="F59" t="s">
        <v>1</v>
      </c>
      <c r="G59">
        <v>65000</v>
      </c>
      <c r="H59" s="4">
        <f>Table134[[#This Row],[Price]]/Table134[[#This Row],[Mileage]]</f>
        <v>0.34615384615384615</v>
      </c>
      <c r="I59" s="3">
        <f ca="1">Table134[[#This Row],[Price]]/Table134[[#This Row],[Age]]</f>
        <v>3750</v>
      </c>
      <c r="J59">
        <f ca="1">IF(YEAR(TODAY())=Table134[[#This Row],[year]],0.8,YEAR(TODAY())-Table134[[#This Row],[year]])</f>
        <v>6</v>
      </c>
      <c r="K5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0.899      -2,277</v>
      </c>
      <c r="L59" s="4">
        <f t="array" aca="1" ref="L59" ca="1">EXP(INDEX(LINEST(LN(Table134[Price]),Table134[Age]),1,2))*EXP(INDEX(LINEST(LN(Table134[Price]),Table134[Age]),1,1)*Table134[[#This Row],[Age]])/Table134[[#This Row],[Price]]</f>
        <v>0.71003093510577964</v>
      </c>
      <c r="M59" s="4">
        <f ca="1">Table134[[#This Row],[Column1]]*VALUE(SUBSTITUTE(LEFT(Table134[[#This Row],[normal price/real milage]],3),",",""))</f>
        <v>0.56802474808462378</v>
      </c>
      <c r="N59" s="4"/>
    </row>
    <row r="60" spans="1:14" x14ac:dyDescent="0.25">
      <c r="A60" s="1">
        <v>45080</v>
      </c>
      <c r="B60">
        <v>47</v>
      </c>
      <c r="C60" s="5">
        <v>18000</v>
      </c>
      <c r="D60">
        <v>2013</v>
      </c>
      <c r="E60" t="s">
        <v>66</v>
      </c>
      <c r="F60" t="s">
        <v>1</v>
      </c>
      <c r="G60">
        <v>87000</v>
      </c>
      <c r="H60" s="4">
        <f>Table134[[#This Row],[Price]]/Table134[[#This Row],[Mileage]]</f>
        <v>0.20689655172413793</v>
      </c>
      <c r="I60" s="3">
        <f ca="1">Table134[[#This Row],[Price]]/Table134[[#This Row],[Age]]</f>
        <v>1800</v>
      </c>
      <c r="J60">
        <f ca="1">IF(YEAR(TODAY())=Table134[[#This Row],[year]],0.8,YEAR(TODAY())-Table134[[#This Row],[year]])</f>
        <v>10</v>
      </c>
      <c r="K6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1.028      496</v>
      </c>
      <c r="L60" s="4">
        <f t="array" aca="1" ref="L60" ca="1">EXP(INDEX(LINEST(LN(Table134[Price]),Table134[Age]),1,2))*EXP(INDEX(LINEST(LN(Table134[Price]),Table134[Age]),1,1)*Table134[[#This Row],[Age]])/Table134[[#This Row],[Price]]</f>
        <v>0.56639782670733585</v>
      </c>
      <c r="M60" s="4">
        <f ca="1">Table134[[#This Row],[Column1]]*VALUE(SUBSTITUTE(LEFT(Table134[[#This Row],[normal price/real milage]],3),",",""))</f>
        <v>0.56639782670733585</v>
      </c>
      <c r="N60" s="4"/>
    </row>
    <row r="61" spans="1:14" x14ac:dyDescent="0.25">
      <c r="A61" s="1">
        <v>45080</v>
      </c>
      <c r="B61">
        <v>20</v>
      </c>
      <c r="C61" s="5">
        <v>16999</v>
      </c>
      <c r="D61">
        <v>2013</v>
      </c>
      <c r="E61" t="s">
        <v>54</v>
      </c>
      <c r="F61" t="s">
        <v>1</v>
      </c>
      <c r="G61">
        <v>124000</v>
      </c>
      <c r="H61" s="4">
        <f>Table134[[#This Row],[Price]]/Table134[[#This Row],[Mileage]]</f>
        <v>0.13708870967741935</v>
      </c>
      <c r="I61" s="3">
        <f ca="1">Table134[[#This Row],[Price]]/Table134[[#This Row],[Age]]</f>
        <v>1699.9</v>
      </c>
      <c r="J61">
        <f ca="1">IF(YEAR(TODAY())=Table134[[#This Row],[year]],0.8,YEAR(TODAY())-Table134[[#This Row],[year]])</f>
        <v>10</v>
      </c>
      <c r="K6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0.917      -1,408</v>
      </c>
      <c r="L61" s="4">
        <f t="array" aca="1" ref="L61" ca="1">EXP(INDEX(LINEST(LN(Table134[Price]),Table134[Age]),1,2))*EXP(INDEX(LINEST(LN(Table134[Price]),Table134[Age]),1,1)*Table134[[#This Row],[Age]])/Table134[[#This Row],[Price]]</f>
        <v>0.59975062537396584</v>
      </c>
      <c r="M61" s="4">
        <f ca="1">Table134[[#This Row],[Column1]]*VALUE(SUBSTITUTE(LEFT(Table134[[#This Row],[normal price/real milage]],3),",",""))</f>
        <v>0.53977556283656924</v>
      </c>
      <c r="N61" s="4"/>
    </row>
    <row r="62" spans="1:14" x14ac:dyDescent="0.25">
      <c r="A62" s="1">
        <v>45080</v>
      </c>
      <c r="B62">
        <v>31</v>
      </c>
      <c r="C62" s="5">
        <v>16000</v>
      </c>
      <c r="D62">
        <v>2014</v>
      </c>
      <c r="E62" t="s">
        <v>66</v>
      </c>
      <c r="F62" t="s">
        <v>1</v>
      </c>
      <c r="G62">
        <v>160000</v>
      </c>
      <c r="H62" s="4">
        <f>Table134[[#This Row],[Price]]/Table134[[#This Row],[Mileage]]</f>
        <v>0.1</v>
      </c>
      <c r="I62" s="3">
        <f ca="1">Table134[[#This Row],[Price]]/Table134[[#This Row],[Age]]</f>
        <v>1777.7777777777778</v>
      </c>
      <c r="J62">
        <f ca="1">IF(YEAR(TODAY())=Table134[[#This Row],[year]],0.8,YEAR(TODAY())-Table134[[#This Row],[year]])</f>
        <v>9</v>
      </c>
      <c r="K6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0.798      -3,236</v>
      </c>
      <c r="L62" s="4">
        <f t="array" aca="1" ref="L62" ca="1">EXP(INDEX(LINEST(LN(Table134[Price]),Table134[Age]),1,2))*EXP(INDEX(LINEST(LN(Table134[Price]),Table134[Age]),1,1)*Table134[[#This Row],[Age]])/Table134[[#This Row],[Price]]</f>
        <v>0.7129195546046655</v>
      </c>
      <c r="M62" s="4">
        <f ca="1">Table134[[#This Row],[Column1]]*VALUE(SUBSTITUTE(LEFT(Table134[[#This Row],[normal price/real milage]],3),",",""))</f>
        <v>0.49904368822326584</v>
      </c>
      <c r="N62" s="4"/>
    </row>
    <row r="63" spans="1:14" x14ac:dyDescent="0.25">
      <c r="A63" s="1">
        <v>45080</v>
      </c>
      <c r="B63">
        <v>72</v>
      </c>
      <c r="C63" s="5">
        <v>10999</v>
      </c>
      <c r="D63">
        <v>2013</v>
      </c>
      <c r="E63" t="s">
        <v>81</v>
      </c>
      <c r="F63" t="s">
        <v>51</v>
      </c>
      <c r="G63">
        <v>246000</v>
      </c>
      <c r="H63" s="4">
        <f>Table134[[#This Row],[Price]]/Table134[[#This Row],[Mileage]]</f>
        <v>4.4711382113821141E-2</v>
      </c>
      <c r="I63" s="3">
        <f ca="1">Table134[[#This Row],[Price]]/Table134[[#This Row],[Age]]</f>
        <v>1099.9000000000001</v>
      </c>
      <c r="J63">
        <f ca="1">IF(YEAR(TODAY())=Table134[[#This Row],[year]],0.8,YEAR(TODAY())-Table134[[#This Row],[year]])</f>
        <v>10</v>
      </c>
      <c r="K6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0.547      -4,987</v>
      </c>
      <c r="L63" s="4">
        <f t="array" aca="1" ref="L63" ca="1">EXP(INDEX(LINEST(LN(Table134[Price]),Table134[Age]),1,2))*EXP(INDEX(LINEST(LN(Table134[Price]),Table134[Age]),1,1)*Table134[[#This Row],[Age]])/Table134[[#This Row],[Price]]</f>
        <v>0.9269170725276884</v>
      </c>
      <c r="M63" s="4">
        <f ca="1">Table134[[#This Row],[Column1]]*VALUE(SUBSTITUTE(LEFT(Table134[[#This Row],[normal price/real milage]],3),",",""))</f>
        <v>0.4634585362638442</v>
      </c>
      <c r="N63" s="4"/>
    </row>
    <row r="64" spans="1:14" x14ac:dyDescent="0.25">
      <c r="A64" s="1">
        <v>45080</v>
      </c>
      <c r="B64">
        <v>46</v>
      </c>
      <c r="C64" s="5">
        <v>7950</v>
      </c>
      <c r="D64">
        <v>2010</v>
      </c>
      <c r="E64" t="s">
        <v>33</v>
      </c>
      <c r="F64" t="s">
        <v>9</v>
      </c>
      <c r="G64">
        <v>266000</v>
      </c>
      <c r="H64" s="4">
        <f>Table134[[#This Row],[Price]]/Table134[[#This Row],[Mileage]]</f>
        <v>2.9887218045112782E-2</v>
      </c>
      <c r="I64" s="3">
        <f ca="1">Table134[[#This Row],[Price]]/Table134[[#This Row],[Age]]</f>
        <v>611.53846153846155</v>
      </c>
      <c r="J64">
        <f ca="1">IF(YEAR(TODAY())=Table134[[#This Row],[year]],0.8,YEAR(TODAY())-Table134[[#This Row],[year]])</f>
        <v>13</v>
      </c>
      <c r="K6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0.559      -3,508</v>
      </c>
      <c r="L64" s="4">
        <f t="array" aca="1" ref="L64" ca="1">EXP(INDEX(LINEST(LN(Table134[Price]),Table134[Age]),1,2))*EXP(INDEX(LINEST(LN(Table134[Price]),Table134[Age]),1,1)*Table134[[#This Row],[Age]])/Table134[[#This Row],[Price]]</f>
        <v>0.91564615406406191</v>
      </c>
      <c r="M64" s="4">
        <f ca="1">Table134[[#This Row],[Column1]]*VALUE(SUBSTITUTE(LEFT(Table134[[#This Row],[normal price/real milage]],3),",",""))</f>
        <v>0.45782307703203096</v>
      </c>
      <c r="N64" s="4"/>
    </row>
    <row r="65" spans="1:14" x14ac:dyDescent="0.25">
      <c r="A65" s="1">
        <v>45080</v>
      </c>
      <c r="B65">
        <v>49</v>
      </c>
      <c r="C65" s="5">
        <v>24999</v>
      </c>
      <c r="D65">
        <v>2016</v>
      </c>
      <c r="E65" t="s">
        <v>33</v>
      </c>
      <c r="F65" t="s">
        <v>1</v>
      </c>
      <c r="G65">
        <v>52000</v>
      </c>
      <c r="H65" s="4">
        <f>Table134[[#This Row],[Price]]/Table134[[#This Row],[Mileage]]</f>
        <v>0.48075000000000001</v>
      </c>
      <c r="I65" s="3">
        <f ca="1">Table134[[#This Row],[Price]]/Table134[[#This Row],[Age]]</f>
        <v>3571.2857142857142</v>
      </c>
      <c r="J65">
        <f ca="1">IF(YEAR(TODAY())=Table134[[#This Row],[year]],0.8,YEAR(TODAY())-Table134[[#This Row],[year]])</f>
        <v>7</v>
      </c>
      <c r="K6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0.850      -3,755</v>
      </c>
      <c r="L65" s="4">
        <f t="array" aca="1" ref="L65" ca="1">EXP(INDEX(LINEST(LN(Table134[Price]),Table134[Age]),1,2))*EXP(INDEX(LINEST(LN(Table134[Price]),Table134[Age]),1,1)*Table134[[#This Row],[Age]])/Table134[[#This Row],[Price]]</f>
        <v>0.5711770195826501</v>
      </c>
      <c r="M65" s="4">
        <f ca="1">Table134[[#This Row],[Column1]]*VALUE(SUBSTITUTE(LEFT(Table134[[#This Row],[normal price/real milage]],3),",",""))</f>
        <v>0.45694161566612013</v>
      </c>
      <c r="N65" s="4"/>
    </row>
    <row r="66" spans="1:14" x14ac:dyDescent="0.25">
      <c r="A66" s="1">
        <v>45080</v>
      </c>
      <c r="B66">
        <v>28</v>
      </c>
      <c r="C66" s="5">
        <v>29888</v>
      </c>
      <c r="D66">
        <v>2019</v>
      </c>
      <c r="E66" t="s">
        <v>66</v>
      </c>
      <c r="F66" t="s">
        <v>70</v>
      </c>
      <c r="G66">
        <v>59000</v>
      </c>
      <c r="H66" s="4">
        <f>Table134[[#This Row],[Price]]/Table134[[#This Row],[Mileage]]</f>
        <v>0.50657627118644066</v>
      </c>
      <c r="I66" s="3">
        <f ca="1">Table134[[#This Row],[Price]]/Table134[[#This Row],[Age]]</f>
        <v>7472</v>
      </c>
      <c r="J66">
        <f ca="1">IF(YEAR(TODAY())=Table134[[#This Row],[year]],0.8,YEAR(TODAY())-Table134[[#This Row],[year]])</f>
        <v>4</v>
      </c>
      <c r="K6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0.692      -9,194</v>
      </c>
      <c r="L66" s="4">
        <f t="array" aca="1" ref="L66" ca="1">EXP(INDEX(LINEST(LN(Table134[Price]),Table134[Age]),1,2))*EXP(INDEX(LINEST(LN(Table134[Price]),Table134[Age]),1,1)*Table134[[#This Row],[Age]])/Table134[[#This Row],[Price]]</f>
        <v>0.66910732925901817</v>
      </c>
      <c r="M66" s="4">
        <f ca="1">Table134[[#This Row],[Column1]]*VALUE(SUBSTITUTE(LEFT(Table134[[#This Row],[normal price/real milage]],3),",",""))</f>
        <v>0.40146439755541091</v>
      </c>
      <c r="N66" s="4"/>
    </row>
    <row r="67" spans="1:14" x14ac:dyDescent="0.25">
      <c r="A67" s="1">
        <v>45080</v>
      </c>
      <c r="B67">
        <v>2</v>
      </c>
      <c r="C67" s="5">
        <v>25500</v>
      </c>
      <c r="D67">
        <v>2019</v>
      </c>
      <c r="E67" t="s">
        <v>66</v>
      </c>
      <c r="F67" t="s">
        <v>9</v>
      </c>
      <c r="G67">
        <v>132000</v>
      </c>
      <c r="H67" s="4">
        <f>Table134[[#This Row],[Price]]/Table134[[#This Row],[Mileage]]</f>
        <v>0.19318181818181818</v>
      </c>
      <c r="I67" s="3">
        <f ca="1">Table134[[#This Row],[Price]]/Table134[[#This Row],[Age]]</f>
        <v>6375</v>
      </c>
      <c r="J67">
        <f ca="1">IF(YEAR(TODAY())=Table134[[#This Row],[year]],0.8,YEAR(TODAY())-Table134[[#This Row],[year]])</f>
        <v>4</v>
      </c>
      <c r="K6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0.587      -10,537</v>
      </c>
      <c r="L67" s="4">
        <f t="array" aca="1" ref="L67" ca="1">EXP(INDEX(LINEST(LN(Table134[Price]),Table134[Age]),1,2))*EXP(INDEX(LINEST(LN(Table134[Price]),Table134[Age]),1,1)*Table134[[#This Row],[Age]])/Table134[[#This Row],[Price]]</f>
        <v>0.7842462688977857</v>
      </c>
      <c r="M67" s="4">
        <f ca="1">Table134[[#This Row],[Column1]]*VALUE(SUBSTITUTE(LEFT(Table134[[#This Row],[normal price/real milage]],3),",",""))</f>
        <v>0.39212313444889285</v>
      </c>
      <c r="N67" s="4"/>
    </row>
    <row r="68" spans="1:14" x14ac:dyDescent="0.25">
      <c r="A68" s="1">
        <v>45080</v>
      </c>
      <c r="B68">
        <v>40</v>
      </c>
      <c r="C68" s="5">
        <v>35495</v>
      </c>
      <c r="D68">
        <v>2020</v>
      </c>
      <c r="E68" t="s">
        <v>66</v>
      </c>
      <c r="F68" t="s">
        <v>1</v>
      </c>
      <c r="G68">
        <v>77000</v>
      </c>
      <c r="H68" s="4">
        <f>Table134[[#This Row],[Price]]/Table134[[#This Row],[Mileage]]</f>
        <v>0.46097402597402598</v>
      </c>
      <c r="I68" s="3">
        <f ca="1">Table134[[#This Row],[Price]]/Table134[[#This Row],[Age]]</f>
        <v>11831.666666666666</v>
      </c>
      <c r="J68">
        <f ca="1">IF(YEAR(TODAY())=Table134[[#This Row],[year]],0.8,YEAR(TODAY())-Table134[[#This Row],[year]])</f>
        <v>3</v>
      </c>
      <c r="K6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0.543      -16,214</v>
      </c>
      <c r="L68" s="4">
        <f t="array" aca="1" ref="L68" ca="1">EXP(INDEX(LINEST(LN(Table134[Price]),Table134[Age]),1,2))*EXP(INDEX(LINEST(LN(Table134[Price]),Table134[Age]),1,1)*Table134[[#This Row],[Age]])/Table134[[#This Row],[Price]]</f>
        <v>0.6303647036653458</v>
      </c>
      <c r="M68" s="4">
        <f ca="1">Table134[[#This Row],[Column1]]*VALUE(SUBSTITUTE(LEFT(Table134[[#This Row],[normal price/real milage]],3),",",""))</f>
        <v>0.3151823518326729</v>
      </c>
      <c r="N68" s="4"/>
    </row>
    <row r="69" spans="1:14" x14ac:dyDescent="0.25">
      <c r="A69" s="1">
        <v>45080</v>
      </c>
      <c r="B69">
        <v>30</v>
      </c>
      <c r="C69" s="5">
        <v>47938</v>
      </c>
      <c r="D69">
        <v>2023</v>
      </c>
      <c r="E69" t="s">
        <v>71</v>
      </c>
      <c r="F69" t="s">
        <v>72</v>
      </c>
      <c r="G69">
        <v>300</v>
      </c>
      <c r="H69" s="4">
        <f>Table134[[#This Row],[Price]]/Table134[[#This Row],[Mileage]]</f>
        <v>159.79333333333332</v>
      </c>
      <c r="I69" s="3">
        <f ca="1">Table134[[#This Row],[Price]]/Table134[[#This Row],[Age]]</f>
        <v>59922.5</v>
      </c>
      <c r="J69">
        <f ca="1">IF(YEAR(TODAY())=Table134[[#This Row],[year]],0.8,YEAR(TODAY())-Table134[[#This Row],[year]])</f>
        <v>0.8</v>
      </c>
      <c r="K6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0.528      -22,635</v>
      </c>
      <c r="L69" s="4">
        <f t="array" aca="1" ref="L69" ca="1">EXP(INDEX(LINEST(LN(Table134[Price]),Table134[Age]),1,2))*EXP(INDEX(LINEST(LN(Table134[Price]),Table134[Age]),1,1)*Table134[[#This Row],[Age]])/Table134[[#This Row],[Price]]</f>
        <v>0.59753767777991129</v>
      </c>
      <c r="M69" s="4">
        <f ca="1">Table134[[#This Row],[Column1]]*VALUE(SUBSTITUTE(LEFT(Table134[[#This Row],[normal price/real milage]],3),",",""))</f>
        <v>0.29876883888995565</v>
      </c>
      <c r="N69" s="4"/>
    </row>
    <row r="70" spans="1:14" x14ac:dyDescent="0.25">
      <c r="A70" s="1">
        <v>45080</v>
      </c>
      <c r="B70">
        <v>3</v>
      </c>
      <c r="C70" s="5">
        <v>2399</v>
      </c>
      <c r="D70">
        <v>2006</v>
      </c>
      <c r="E70" t="s">
        <v>33</v>
      </c>
      <c r="F70" t="s">
        <v>29</v>
      </c>
      <c r="G70">
        <v>361000</v>
      </c>
      <c r="H70" s="4">
        <f>Table134[[#This Row],[Price]]/Table134[[#This Row],[Mileage]]</f>
        <v>6.6454293628808864E-3</v>
      </c>
      <c r="I70" s="3">
        <f ca="1">Table134[[#This Row],[Price]]/Table134[[#This Row],[Age]]</f>
        <v>141.11764705882354</v>
      </c>
      <c r="J70">
        <f ca="1">IF(YEAR(TODAY())=Table134[[#This Row],[year]],0.8,YEAR(TODAY())-Table134[[#This Row],[year]])</f>
        <v>17</v>
      </c>
      <c r="K7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-1.258      -5,416</v>
      </c>
      <c r="L70" s="4">
        <f t="array" aca="1" ref="L70" ca="1">EXP(INDEX(LINEST(LN(Table134[Price]),Table134[Age]),1,2))*EXP(INDEX(LINEST(LN(Table134[Price]),Table134[Age]),1,1)*Table134[[#This Row],[Age]])/Table134[[#This Row],[Price]]</f>
        <v>1.9364168399149995</v>
      </c>
      <c r="M70" s="4">
        <f ca="1">Table134[[#This Row],[Column1]]*VALUE(SUBSTITUTE(LEFT(Table134[[#This Row],[normal price/real milage]],3),",",""))</f>
        <v>-1.9364168399149995</v>
      </c>
      <c r="N70" s="4"/>
    </row>
    <row r="71" spans="1:14" x14ac:dyDescent="0.25">
      <c r="C71" s="5">
        <v>10995</v>
      </c>
      <c r="D71">
        <v>2013</v>
      </c>
      <c r="E71" t="s">
        <v>82</v>
      </c>
      <c r="F71" t="s">
        <v>83</v>
      </c>
      <c r="G71">
        <v>212200</v>
      </c>
      <c r="H71" s="4">
        <f>Table134[[#This Row],[Price]]/Table134[[#This Row],[Mileage]]</f>
        <v>5.1814326107445803E-2</v>
      </c>
      <c r="I71" s="3">
        <f ca="1">Table134[[#This Row],[Price]]/Table134[[#This Row],[Age]]</f>
        <v>1099.5</v>
      </c>
      <c r="J71">
        <f ca="1">IF(YEAR(TODAY())=Table134[[#This Row],[year]],0.8,YEAR(TODAY())-Table134[[#This Row],[year]])</f>
        <v>10</v>
      </c>
      <c r="K7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0.788      -2,329</v>
      </c>
      <c r="L71" s="4">
        <f t="array" aca="1" ref="L71" ca="1">EXP(INDEX(LINEST(LN(Table134[Price]),Table134[Age]),1,2))*EXP(INDEX(LINEST(LN(Table134[Price]),Table134[Age]),1,1)*Table134[[#This Row],[Age]])/Table134[[#This Row],[Price]]</f>
        <v>0.92725428656044062</v>
      </c>
      <c r="M71" s="4">
        <f ca="1">Table134[[#This Row],[Column1]]*VALUE(SUBSTITUTE(LEFT(Table134[[#This Row],[normal price/real milage]],3),",",""))</f>
        <v>0.64907800059230836</v>
      </c>
      <c r="N71" s="4"/>
    </row>
    <row r="72" spans="1:14" x14ac:dyDescent="0.25">
      <c r="L72" s="4"/>
    </row>
    <row r="73" spans="1:14" x14ac:dyDescent="0.25">
      <c r="L73" s="4"/>
    </row>
    <row r="74" spans="1:14" x14ac:dyDescent="0.25">
      <c r="L74" s="4"/>
    </row>
    <row r="75" spans="1:14" x14ac:dyDescent="0.25">
      <c r="L75" s="4"/>
    </row>
    <row r="76" spans="1:14" x14ac:dyDescent="0.25">
      <c r="L76" s="4"/>
    </row>
    <row r="77" spans="1:14" x14ac:dyDescent="0.25">
      <c r="L77" s="4"/>
    </row>
    <row r="78" spans="1:14" x14ac:dyDescent="0.25">
      <c r="L78" s="4"/>
    </row>
    <row r="79" spans="1:14" x14ac:dyDescent="0.25">
      <c r="L79" s="4"/>
    </row>
    <row r="80" spans="1:14" x14ac:dyDescent="0.25">
      <c r="L80" s="4"/>
    </row>
    <row r="81" spans="12:12" x14ac:dyDescent="0.25">
      <c r="L81" s="4"/>
    </row>
    <row r="82" spans="12:12" x14ac:dyDescent="0.25">
      <c r="L82" s="4"/>
    </row>
    <row r="83" spans="12:12" x14ac:dyDescent="0.25">
      <c r="L83" s="4"/>
    </row>
    <row r="84" spans="12:12" x14ac:dyDescent="0.25">
      <c r="L84" s="4"/>
    </row>
    <row r="85" spans="12:12" x14ac:dyDescent="0.25">
      <c r="L85" s="4"/>
    </row>
    <row r="86" spans="12:12" x14ac:dyDescent="0.25">
      <c r="L86" s="4"/>
    </row>
    <row r="87" spans="12:12" x14ac:dyDescent="0.25">
      <c r="L87" s="4"/>
    </row>
    <row r="88" spans="12:12" x14ac:dyDescent="0.25">
      <c r="L88" s="4"/>
    </row>
    <row r="89" spans="12:12" x14ac:dyDescent="0.25">
      <c r="L89" s="4"/>
    </row>
    <row r="90" spans="12:12" x14ac:dyDescent="0.25">
      <c r="L90" s="4"/>
    </row>
    <row r="91" spans="12:12" x14ac:dyDescent="0.25">
      <c r="L91" s="4"/>
    </row>
    <row r="92" spans="12:12" x14ac:dyDescent="0.25">
      <c r="L92" s="4"/>
    </row>
    <row r="93" spans="12:12" x14ac:dyDescent="0.25">
      <c r="L93" s="4"/>
    </row>
    <row r="94" spans="12:12" x14ac:dyDescent="0.25">
      <c r="L94" s="4"/>
    </row>
    <row r="95" spans="12:12" x14ac:dyDescent="0.25">
      <c r="L95" s="4"/>
    </row>
    <row r="96" spans="12:12" x14ac:dyDescent="0.25">
      <c r="L96" s="4"/>
    </row>
    <row r="97" spans="12:12" x14ac:dyDescent="0.25">
      <c r="L97" s="4"/>
    </row>
    <row r="98" spans="12:12" x14ac:dyDescent="0.25">
      <c r="L98" s="4"/>
    </row>
    <row r="99" spans="12:12" x14ac:dyDescent="0.25">
      <c r="L99" s="4"/>
    </row>
    <row r="100" spans="12:12" x14ac:dyDescent="0.25">
      <c r="L100" s="4"/>
    </row>
    <row r="101" spans="12:12" x14ac:dyDescent="0.25">
      <c r="L101" s="4"/>
    </row>
  </sheetData>
  <conditionalFormatting sqref="L2:L71">
    <cfRule type="expression" dxfId="32" priority="2">
      <formula>$L2&lt;1</formula>
    </cfRule>
  </conditionalFormatting>
  <conditionalFormatting sqref="K2:K71">
    <cfRule type="expression" dxfId="31" priority="1">
      <formula>$K2&lt;1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B1928-099C-4976-98B3-F5CA68EEE143}">
  <sheetPr codeName="Sheet6"/>
  <dimension ref="A1:R129"/>
  <sheetViews>
    <sheetView zoomScale="85" zoomScaleNormal="85" workbookViewId="0">
      <selection activeCell="E10" sqref="E10"/>
    </sheetView>
  </sheetViews>
  <sheetFormatPr defaultRowHeight="15" x14ac:dyDescent="0.25"/>
  <cols>
    <col min="1" max="1" width="9.7109375" bestFit="1" customWidth="1"/>
    <col min="2" max="2" width="5.140625" bestFit="1" customWidth="1"/>
    <col min="3" max="3" width="8" customWidth="1"/>
    <col min="4" max="4" width="7.140625" bestFit="1" customWidth="1"/>
    <col min="5" max="5" width="28.85546875" customWidth="1"/>
    <col min="6" max="6" width="22.5703125" customWidth="1"/>
    <col min="7" max="7" width="10.5703125" bestFit="1" customWidth="1"/>
    <col min="8" max="8" width="15.85546875" customWidth="1"/>
    <col min="9" max="9" width="11.7109375" bestFit="1" customWidth="1"/>
    <col min="10" max="10" width="6.7109375" bestFit="1" customWidth="1"/>
    <col min="11" max="11" width="25" bestFit="1" customWidth="1"/>
    <col min="12" max="14" width="11.7109375" customWidth="1"/>
    <col min="15" max="15" width="12.7109375" bestFit="1" customWidth="1"/>
    <col min="16" max="16" width="9.28515625" bestFit="1" customWidth="1"/>
  </cols>
  <sheetData>
    <row r="1" spans="1:18" x14ac:dyDescent="0.25">
      <c r="A1" t="s">
        <v>27</v>
      </c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32</v>
      </c>
      <c r="J1" t="s">
        <v>31</v>
      </c>
      <c r="K1" t="s">
        <v>48</v>
      </c>
      <c r="L1" t="s">
        <v>25</v>
      </c>
      <c r="M1" t="s">
        <v>49</v>
      </c>
    </row>
    <row r="2" spans="1:18" x14ac:dyDescent="0.25">
      <c r="A2" s="1">
        <v>45081</v>
      </c>
      <c r="B2">
        <v>40</v>
      </c>
      <c r="C2" s="5">
        <v>730.4</v>
      </c>
      <c r="D2">
        <v>2020</v>
      </c>
      <c r="E2" t="s">
        <v>84</v>
      </c>
      <c r="F2" t="s">
        <v>65</v>
      </c>
      <c r="G2">
        <v>40000</v>
      </c>
      <c r="H2" s="4">
        <f>Table1346[[#This Row],[Price]]/Table1346[[#This Row],[Mileage]]</f>
        <v>1.8259999999999998E-2</v>
      </c>
      <c r="I2" s="3">
        <f ca="1">Table1346[[#This Row],[Price]]/Table1346[[#This Row],[Age]]</f>
        <v>243.46666666666667</v>
      </c>
      <c r="J2">
        <f ca="1">IF(YEAR(TODAY())=Table1346[[#This Row],[year]],0.8,YEAR(TODAY())-Table1346[[#This Row],[year]])</f>
        <v>3</v>
      </c>
      <c r="K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33.760      23,928</v>
      </c>
      <c r="L2" s="4">
        <f t="array" aca="1" ref="L2" ca="1">EXP(INDEX(LINEST(LN(Table1346[Price]),Table1346[Age]),1,2))*EXP(INDEX(LINEST(LN(Table1346[Price]),Table1346[Age]),1,1)*Table1346[[#This Row],[Age]])/Table1346[[#This Row],[Price]]</f>
        <v>31.165853170386544</v>
      </c>
      <c r="M2" s="4">
        <f ca="1">Table1346[[#This Row],[Column1]]*VALUE(SUBSTITUTE(LEFT(Table1346[[#This Row],[normal price/real milage]],3),",",""))</f>
        <v>1028.4731546227561</v>
      </c>
      <c r="N2" s="4"/>
      <c r="O2">
        <f t="array" ref="O2:P2">LINEST(LN(Table1346[Price]),Table1346[Mileage])</f>
        <v>-4.1177180905353601E-6</v>
      </c>
      <c r="P2">
        <v>10.14089301907303</v>
      </c>
      <c r="R2">
        <f>INDEX(LINEST(Table1346[Price],Table1346[Mileage]),1,1)</f>
        <v>-7.4798625754775333E-2</v>
      </c>
    </row>
    <row r="3" spans="1:18" x14ac:dyDescent="0.25">
      <c r="A3" s="1">
        <v>45081</v>
      </c>
      <c r="B3">
        <v>149</v>
      </c>
      <c r="C3" s="5">
        <v>792</v>
      </c>
      <c r="D3">
        <v>2021</v>
      </c>
      <c r="E3" t="s">
        <v>84</v>
      </c>
      <c r="F3" t="s">
        <v>104</v>
      </c>
      <c r="G3">
        <v>16000</v>
      </c>
      <c r="H3" s="4">
        <f>Table1346[[#This Row],[Price]]/Table1346[[#This Row],[Mileage]]</f>
        <v>4.9500000000000002E-2</v>
      </c>
      <c r="I3" s="3">
        <f ca="1">Table1346[[#This Row],[Price]]/Table1346[[#This Row],[Age]]</f>
        <v>396</v>
      </c>
      <c r="J3">
        <f ca="1">IF(YEAR(TODAY())=Table1346[[#This Row],[year]],0.8,YEAR(TODAY())-Table1346[[#This Row],[year]])</f>
        <v>2</v>
      </c>
      <c r="K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33.401      25,662</v>
      </c>
      <c r="L3" s="4">
        <f t="array" aca="1" ref="L3" ca="1">EXP(INDEX(LINEST(LN(Table1346[Price]),Table1346[Age]),1,2))*EXP(INDEX(LINEST(LN(Table1346[Price]),Table1346[Age]),1,1)*Table1346[[#This Row],[Age]])/Table1346[[#This Row],[Price]]</f>
        <v>30.958718400136043</v>
      </c>
      <c r="M3" s="4">
        <f ca="1">Table1346[[#This Row],[Column1]]*VALUE(SUBSTITUTE(LEFT(Table1346[[#This Row],[normal price/real milage]],3),",",""))</f>
        <v>1021.6377072044894</v>
      </c>
      <c r="N3" s="4"/>
    </row>
    <row r="4" spans="1:18" x14ac:dyDescent="0.25">
      <c r="A4" s="1">
        <v>45081</v>
      </c>
      <c r="B4">
        <v>93</v>
      </c>
      <c r="C4" s="5">
        <v>5429.6</v>
      </c>
      <c r="D4">
        <v>2021</v>
      </c>
      <c r="E4" t="s">
        <v>95</v>
      </c>
      <c r="F4" t="s">
        <v>9</v>
      </c>
      <c r="G4">
        <v>50000</v>
      </c>
      <c r="H4" s="4">
        <f>Table1346[[#This Row],[Price]]/Table1346[[#This Row],[Mileage]]</f>
        <v>0.10859200000000001</v>
      </c>
      <c r="I4" s="3">
        <f ca="1">Table1346[[#This Row],[Price]]/Table1346[[#This Row],[Age]]</f>
        <v>2714.8</v>
      </c>
      <c r="J4">
        <f ca="1">IF(YEAR(TODAY())=Table1346[[#This Row],[year]],0.8,YEAR(TODAY())-Table1346[[#This Row],[year]])</f>
        <v>2</v>
      </c>
      <c r="K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4.404      18,481</v>
      </c>
      <c r="L4" s="4">
        <f t="array" aca="1" ref="L4" ca="1">EXP(INDEX(LINEST(LN(Table1346[Price]),Table1346[Age]),1,2))*EXP(INDEX(LINEST(LN(Table1346[Price]),Table1346[Age]),1,1)*Table1346[[#This Row],[Age]])/Table1346[[#This Row],[Price]]</f>
        <v>4.5158584376211408</v>
      </c>
      <c r="M4" s="4">
        <f ca="1">Table1346[[#This Row],[Column1]]*VALUE(SUBSTITUTE(LEFT(Table1346[[#This Row],[normal price/real milage]],3),",",""))</f>
        <v>19.86977712553302</v>
      </c>
      <c r="N4" s="4"/>
    </row>
    <row r="5" spans="1:18" x14ac:dyDescent="0.25">
      <c r="A5" s="1">
        <v>45081</v>
      </c>
      <c r="B5">
        <v>150</v>
      </c>
      <c r="C5" s="5">
        <v>3650</v>
      </c>
      <c r="D5">
        <v>1999</v>
      </c>
      <c r="E5" t="s">
        <v>84</v>
      </c>
      <c r="F5" t="s">
        <v>1</v>
      </c>
      <c r="G5">
        <v>192000</v>
      </c>
      <c r="H5" s="4">
        <f>Table1346[[#This Row],[Price]]/Table1346[[#This Row],[Mileage]]</f>
        <v>1.9010416666666665E-2</v>
      </c>
      <c r="I5" s="3">
        <f ca="1">Table1346[[#This Row],[Price]]/Table1346[[#This Row],[Age]]</f>
        <v>152.08333333333334</v>
      </c>
      <c r="J5">
        <f ca="1">IF(YEAR(TODAY())=Table1346[[#This Row],[year]],0.8,YEAR(TODAY())-Table1346[[#This Row],[year]])</f>
        <v>24</v>
      </c>
      <c r="K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3.641      9,639</v>
      </c>
      <c r="L5" s="4">
        <f t="array" aca="1" ref="L5" ca="1">EXP(INDEX(LINEST(LN(Table1346[Price]),Table1346[Age]),1,2))*EXP(INDEX(LINEST(LN(Table1346[Price]),Table1346[Age]),1,1)*Table1346[[#This Row],[Age]])/Table1346[[#This Row],[Price]]</f>
        <v>1.3101201809555938</v>
      </c>
      <c r="M5" s="4">
        <f ca="1">Table1346[[#This Row],[Column1]]*VALUE(SUBSTITUTE(LEFT(Table1346[[#This Row],[normal price/real milage]],3),",",""))</f>
        <v>4.7164326514401376</v>
      </c>
      <c r="N5" s="4"/>
    </row>
    <row r="6" spans="1:18" x14ac:dyDescent="0.25">
      <c r="A6" s="1">
        <v>45081</v>
      </c>
      <c r="B6">
        <v>9</v>
      </c>
      <c r="C6" s="5">
        <v>3500</v>
      </c>
      <c r="D6">
        <v>2007</v>
      </c>
      <c r="E6" t="s">
        <v>84</v>
      </c>
      <c r="F6" t="s">
        <v>86</v>
      </c>
      <c r="G6">
        <v>285000</v>
      </c>
      <c r="H6" s="4">
        <f>Table1346[[#This Row],[Price]]/Table1346[[#This Row],[Mileage]]</f>
        <v>1.2280701754385965E-2</v>
      </c>
      <c r="I6" s="3">
        <f ca="1">Table1346[[#This Row],[Price]]/Table1346[[#This Row],[Age]]</f>
        <v>218.75</v>
      </c>
      <c r="J6">
        <f ca="1">IF(YEAR(TODAY())=Table1346[[#This Row],[year]],0.8,YEAR(TODAY())-Table1346[[#This Row],[year]])</f>
        <v>16</v>
      </c>
      <c r="K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1.809      2,833</v>
      </c>
      <c r="L6" s="4">
        <f t="array" aca="1" ref="L6" ca="1">EXP(INDEX(LINEST(LN(Table1346[Price]),Table1346[Age]),1,2))*EXP(INDEX(LINEST(LN(Table1346[Price]),Table1346[Age]),1,1)*Table1346[[#This Row],[Age]])/Table1346[[#This Row],[Price]]</f>
        <v>2.4756139535913362</v>
      </c>
      <c r="M6" s="4">
        <f ca="1">Table1346[[#This Row],[Column1]]*VALUE(SUBSTITUTE(LEFT(Table1346[[#This Row],[normal price/real milage]],3),",",""))</f>
        <v>4.4561051164644052</v>
      </c>
      <c r="N6" s="4"/>
    </row>
    <row r="7" spans="1:18" x14ac:dyDescent="0.25">
      <c r="A7" s="1">
        <v>45081</v>
      </c>
      <c r="B7">
        <v>117</v>
      </c>
      <c r="C7" s="5">
        <v>3995</v>
      </c>
      <c r="D7">
        <v>2006</v>
      </c>
      <c r="E7" t="s">
        <v>84</v>
      </c>
      <c r="F7" t="s">
        <v>1</v>
      </c>
      <c r="G7">
        <v>227000</v>
      </c>
      <c r="H7" s="4">
        <f>Table1346[[#This Row],[Price]]/Table1346[[#This Row],[Mileage]]</f>
        <v>1.7599118942731279E-2</v>
      </c>
      <c r="I7" s="3">
        <f ca="1">Table1346[[#This Row],[Price]]/Table1346[[#This Row],[Age]]</f>
        <v>235</v>
      </c>
      <c r="J7">
        <f ca="1">IF(YEAR(TODAY())=Table1346[[#This Row],[year]],0.8,YEAR(TODAY())-Table1346[[#This Row],[year]])</f>
        <v>17</v>
      </c>
      <c r="K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2.671      6,676</v>
      </c>
      <c r="L7" s="4">
        <f t="array" aca="1" ref="L7" ca="1">EXP(INDEX(LINEST(LN(Table1346[Price]),Table1346[Age]),1,2))*EXP(INDEX(LINEST(LN(Table1346[Price]),Table1346[Age]),1,1)*Table1346[[#This Row],[Age]])/Table1346[[#This Row],[Price]]</f>
        <v>2.0135657338548394</v>
      </c>
      <c r="M7" s="4">
        <f ca="1">Table1346[[#This Row],[Column1]]*VALUE(SUBSTITUTE(LEFT(Table1346[[#This Row],[normal price/real milage]],3),",",""))</f>
        <v>5.2352709080225823</v>
      </c>
      <c r="N7" s="4"/>
    </row>
    <row r="8" spans="1:18" x14ac:dyDescent="0.25">
      <c r="A8" s="1">
        <v>45081</v>
      </c>
      <c r="B8">
        <v>151</v>
      </c>
      <c r="C8" s="5">
        <v>4000</v>
      </c>
      <c r="D8">
        <v>2000</v>
      </c>
      <c r="E8" t="s">
        <v>90</v>
      </c>
      <c r="F8" t="s">
        <v>105</v>
      </c>
      <c r="G8">
        <v>227000</v>
      </c>
      <c r="H8" s="4">
        <f>Table1346[[#This Row],[Price]]/Table1346[[#This Row],[Mileage]]</f>
        <v>1.7621145374449341E-2</v>
      </c>
      <c r="I8" s="3">
        <f ca="1">Table1346[[#This Row],[Price]]/Table1346[[#This Row],[Age]]</f>
        <v>173.91304347826087</v>
      </c>
      <c r="J8">
        <f ca="1">IF(YEAR(TODAY())=Table1346[[#This Row],[year]],0.8,YEAR(TODAY())-Table1346[[#This Row],[year]])</f>
        <v>23</v>
      </c>
      <c r="K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2.668      6,671</v>
      </c>
      <c r="L8" s="4">
        <f t="array" aca="1" ref="L8" ca="1">EXP(INDEX(LINEST(LN(Table1346[Price]),Table1346[Age]),1,2))*EXP(INDEX(LINEST(LN(Table1346[Price]),Table1346[Age]),1,1)*Table1346[[#This Row],[Age]])/Table1346[[#This Row],[Price]]</f>
        <v>1.2876931348034437</v>
      </c>
      <c r="M8" s="4">
        <f ca="1">Table1346[[#This Row],[Column1]]*VALUE(SUBSTITUTE(LEFT(Table1346[[#This Row],[normal price/real milage]],3),",",""))</f>
        <v>3.3480021504889539</v>
      </c>
      <c r="N8" s="4"/>
    </row>
    <row r="9" spans="1:18" x14ac:dyDescent="0.25">
      <c r="A9" s="1">
        <v>45081</v>
      </c>
      <c r="B9">
        <v>113</v>
      </c>
      <c r="C9" s="5">
        <v>4750</v>
      </c>
      <c r="D9">
        <v>2007</v>
      </c>
      <c r="E9" t="s">
        <v>84</v>
      </c>
      <c r="F9" t="s">
        <v>18</v>
      </c>
      <c r="G9">
        <v>213000</v>
      </c>
      <c r="H9" s="4">
        <f>Table1346[[#This Row],[Price]]/Table1346[[#This Row],[Mileage]]</f>
        <v>2.2300469483568074E-2</v>
      </c>
      <c r="I9" s="3">
        <f ca="1">Table1346[[#This Row],[Price]]/Table1346[[#This Row],[Age]]</f>
        <v>296.875</v>
      </c>
      <c r="J9">
        <f ca="1">IF(YEAR(TODAY())=Table1346[[#This Row],[year]],0.8,YEAR(TODAY())-Table1346[[#This Row],[year]])</f>
        <v>16</v>
      </c>
      <c r="K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2.467      6,968</v>
      </c>
      <c r="L9" s="4">
        <f t="array" aca="1" ref="L9" ca="1">EXP(INDEX(LINEST(LN(Table1346[Price]),Table1346[Age]),1,2))*EXP(INDEX(LINEST(LN(Table1346[Price]),Table1346[Age]),1,1)*Table1346[[#This Row],[Age]])/Table1346[[#This Row],[Price]]</f>
        <v>1.8241365973830899</v>
      </c>
      <c r="M9" s="4">
        <f ca="1">Table1346[[#This Row],[Column1]]*VALUE(SUBSTITUTE(LEFT(Table1346[[#This Row],[normal price/real milage]],3),",",""))</f>
        <v>4.3779278337194159</v>
      </c>
      <c r="N9" s="4"/>
    </row>
    <row r="10" spans="1:18" x14ac:dyDescent="0.25">
      <c r="A10" s="1">
        <v>45081</v>
      </c>
      <c r="B10">
        <v>44</v>
      </c>
      <c r="C10" s="5">
        <v>5500</v>
      </c>
      <c r="D10">
        <v>2009</v>
      </c>
      <c r="E10" t="s">
        <v>84</v>
      </c>
      <c r="F10" t="s">
        <v>1</v>
      </c>
      <c r="G10">
        <v>150000</v>
      </c>
      <c r="H10" s="4">
        <f>Table1346[[#This Row],[Price]]/Table1346[[#This Row],[Mileage]]</f>
        <v>3.6666666666666667E-2</v>
      </c>
      <c r="I10" s="3">
        <f ca="1">Table1346[[#This Row],[Price]]/Table1346[[#This Row],[Age]]</f>
        <v>392.85714285714283</v>
      </c>
      <c r="J10">
        <f ca="1">IF(YEAR(TODAY())=Table1346[[#This Row],[year]],0.8,YEAR(TODAY())-Table1346[[#This Row],[year]])</f>
        <v>14</v>
      </c>
      <c r="K1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2.987      10,931</v>
      </c>
      <c r="L10" s="4">
        <f t="array" aca="1" ref="L10" ca="1">EXP(INDEX(LINEST(LN(Table1346[Price]),Table1346[Age]),1,2))*EXP(INDEX(LINEST(LN(Table1346[Price]),Table1346[Age]),1,1)*Table1346[[#This Row],[Age]])/Table1346[[#This Row],[Price]]</f>
        <v>1.8277846177064219</v>
      </c>
      <c r="M10" s="4">
        <f ca="1">Table1346[[#This Row],[Column1]]*VALUE(SUBSTITUTE(LEFT(Table1346[[#This Row],[normal price/real milage]],3),",",""))</f>
        <v>5.3005753913486231</v>
      </c>
      <c r="N10" s="4"/>
    </row>
    <row r="11" spans="1:18" x14ac:dyDescent="0.25">
      <c r="A11" s="1">
        <v>45081</v>
      </c>
      <c r="B11">
        <v>100</v>
      </c>
      <c r="C11" s="5">
        <v>6900</v>
      </c>
      <c r="D11">
        <v>2005</v>
      </c>
      <c r="E11" t="s">
        <v>84</v>
      </c>
      <c r="F11" t="s">
        <v>9</v>
      </c>
      <c r="G11">
        <v>127000</v>
      </c>
      <c r="H11" s="4">
        <f>Table1346[[#This Row],[Price]]/Table1346[[#This Row],[Mileage]]</f>
        <v>5.4330708661417322E-2</v>
      </c>
      <c r="I11" s="3">
        <f ca="1">Table1346[[#This Row],[Price]]/Table1346[[#This Row],[Age]]</f>
        <v>383.33333333333331</v>
      </c>
      <c r="J11">
        <f ca="1">IF(YEAR(TODAY())=Table1346[[#This Row],[year]],0.8,YEAR(TODAY())-Table1346[[#This Row],[year]])</f>
        <v>18</v>
      </c>
      <c r="K1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2.631      11,251</v>
      </c>
      <c r="L11" s="4">
        <f t="array" aca="1" ref="L11" ca="1">EXP(INDEX(LINEST(LN(Table1346[Price]),Table1346[Age]),1,2))*EXP(INDEX(LINEST(LN(Table1346[Price]),Table1346[Age]),1,1)*Table1346[[#This Row],[Age]])/Table1346[[#This Row],[Price]]</f>
        <v>1.0823435519601228</v>
      </c>
      <c r="M11" s="4">
        <f ca="1">Table1346[[#This Row],[Column1]]*VALUE(SUBSTITUTE(LEFT(Table1346[[#This Row],[normal price/real milage]],3),",",""))</f>
        <v>2.8140932350963195</v>
      </c>
      <c r="N11" s="4"/>
    </row>
    <row r="12" spans="1:18" x14ac:dyDescent="0.25">
      <c r="A12" s="1">
        <v>45081</v>
      </c>
      <c r="B12">
        <v>70</v>
      </c>
      <c r="C12" s="5">
        <v>8095</v>
      </c>
      <c r="D12">
        <v>2010</v>
      </c>
      <c r="E12" t="s">
        <v>84</v>
      </c>
      <c r="F12" t="s">
        <v>28</v>
      </c>
      <c r="G12">
        <v>107000</v>
      </c>
      <c r="H12" s="4">
        <f>Table1346[[#This Row],[Price]]/Table1346[[#This Row],[Mileage]]</f>
        <v>7.5654205607476641E-2</v>
      </c>
      <c r="I12" s="3">
        <f ca="1">Table1346[[#This Row],[Price]]/Table1346[[#This Row],[Age]]</f>
        <v>622.69230769230774</v>
      </c>
      <c r="J12">
        <f ca="1">IF(YEAR(TODAY())=Table1346[[#This Row],[year]],0.8,YEAR(TODAY())-Table1346[[#This Row],[year]])</f>
        <v>13</v>
      </c>
      <c r="K1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2.427      11,552</v>
      </c>
      <c r="L12" s="4">
        <f t="array" aca="1" ref="L12" ca="1">EXP(INDEX(LINEST(LN(Table1346[Price]),Table1346[Age]),1,2))*EXP(INDEX(LINEST(LN(Table1346[Price]),Table1346[Age]),1,1)*Table1346[[#This Row],[Age]])/Table1346[[#This Row],[Price]]</f>
        <v>1.3376399320917274</v>
      </c>
      <c r="M12" s="4">
        <f ca="1">Table1346[[#This Row],[Column1]]*VALUE(SUBSTITUTE(LEFT(Table1346[[#This Row],[normal price/real milage]],3),",",""))</f>
        <v>3.2103358370201458</v>
      </c>
      <c r="N12" s="4"/>
    </row>
    <row r="13" spans="1:18" x14ac:dyDescent="0.25">
      <c r="A13" s="1">
        <v>45081</v>
      </c>
      <c r="B13">
        <v>11</v>
      </c>
      <c r="C13" s="5">
        <v>8900</v>
      </c>
      <c r="D13">
        <v>2016</v>
      </c>
      <c r="E13" t="s">
        <v>84</v>
      </c>
      <c r="F13" t="s">
        <v>9</v>
      </c>
      <c r="G13">
        <v>100000</v>
      </c>
      <c r="H13" s="4">
        <f>Table1346[[#This Row],[Price]]/Table1346[[#This Row],[Mileage]]</f>
        <v>8.8999999999999996E-2</v>
      </c>
      <c r="I13" s="3">
        <f ca="1">Table1346[[#This Row],[Price]]/Table1346[[#This Row],[Age]]</f>
        <v>1271.4285714285713</v>
      </c>
      <c r="J13">
        <f ca="1">IF(YEAR(TODAY())=Table1346[[#This Row],[year]],0.8,YEAR(TODAY())-Table1346[[#This Row],[year]])</f>
        <v>7</v>
      </c>
      <c r="K1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2.266      11,271</v>
      </c>
      <c r="L13" s="4">
        <f t="array" aca="1" ref="L13" ca="1">EXP(INDEX(LINEST(LN(Table1346[Price]),Table1346[Age]),1,2))*EXP(INDEX(LINEST(LN(Table1346[Price]),Table1346[Age]),1,1)*Table1346[[#This Row],[Age]])/Table1346[[#This Row],[Price]]</f>
        <v>1.9000992893308322</v>
      </c>
      <c r="M13" s="4">
        <f ca="1">Table1346[[#This Row],[Column1]]*VALUE(SUBSTITUTE(LEFT(Table1346[[#This Row],[normal price/real milage]],3),",",""))</f>
        <v>4.1802184365278308</v>
      </c>
      <c r="N13" s="4"/>
    </row>
    <row r="14" spans="1:18" x14ac:dyDescent="0.25">
      <c r="A14" s="1">
        <v>45081</v>
      </c>
      <c r="B14">
        <v>148</v>
      </c>
      <c r="C14" s="5">
        <v>11000</v>
      </c>
      <c r="D14">
        <v>2023</v>
      </c>
      <c r="E14" t="s">
        <v>84</v>
      </c>
      <c r="F14" t="s">
        <v>103</v>
      </c>
      <c r="G14">
        <v>20000</v>
      </c>
      <c r="H14" s="4">
        <f>Table1346[[#This Row],[Price]]/Table1346[[#This Row],[Mileage]]</f>
        <v>0.55000000000000004</v>
      </c>
      <c r="I14" s="3">
        <f ca="1">Table1346[[#This Row],[Price]]/Table1346[[#This Row],[Age]]</f>
        <v>13750</v>
      </c>
      <c r="J14">
        <f ca="1">IF(YEAR(TODAY())=Table1346[[#This Row],[year]],0.8,YEAR(TODAY())-Table1346[[#This Row],[year]])</f>
        <v>0.8</v>
      </c>
      <c r="K1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2.378      15,154</v>
      </c>
      <c r="L14" s="4">
        <f t="array" aca="1" ref="L14" ca="1">EXP(INDEX(LINEST(LN(Table1346[Price]),Table1346[Age]),1,2))*EXP(INDEX(LINEST(LN(Table1346[Price]),Table1346[Age]),1,1)*Table1346[[#This Row],[Age]])/Table1346[[#This Row],[Price]]</f>
        <v>2.4368989178092297</v>
      </c>
      <c r="M14" s="4">
        <f ca="1">Table1346[[#This Row],[Column1]]*VALUE(SUBSTITUTE(LEFT(Table1346[[#This Row],[normal price/real milage]],3),",",""))</f>
        <v>5.6048675109612276</v>
      </c>
      <c r="N14" s="4"/>
    </row>
    <row r="15" spans="1:18" x14ac:dyDescent="0.25">
      <c r="A15" s="1">
        <v>45081</v>
      </c>
      <c r="B15">
        <v>13</v>
      </c>
      <c r="C15" s="5">
        <v>7999</v>
      </c>
      <c r="D15">
        <v>2010</v>
      </c>
      <c r="E15" t="s">
        <v>84</v>
      </c>
      <c r="F15" t="s">
        <v>1</v>
      </c>
      <c r="G15">
        <v>130000</v>
      </c>
      <c r="H15" s="4">
        <f>Table1346[[#This Row],[Price]]/Table1346[[#This Row],[Mileage]]</f>
        <v>6.1530769230769229E-2</v>
      </c>
      <c r="I15" s="3">
        <f ca="1">Table1346[[#This Row],[Price]]/Table1346[[#This Row],[Age]]</f>
        <v>615.30769230769226</v>
      </c>
      <c r="J15">
        <f ca="1">IF(YEAR(TODAY())=Table1346[[#This Row],[year]],0.8,YEAR(TODAY())-Table1346[[#This Row],[year]])</f>
        <v>13</v>
      </c>
      <c r="K1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2.241      9,928</v>
      </c>
      <c r="L15" s="4">
        <f t="array" aca="1" ref="L15" ca="1">EXP(INDEX(LINEST(LN(Table1346[Price]),Table1346[Age]),1,2))*EXP(INDEX(LINEST(LN(Table1346[Price]),Table1346[Age]),1,1)*Table1346[[#This Row],[Age]])/Table1346[[#This Row],[Price]]</f>
        <v>1.3536936179875652</v>
      </c>
      <c r="M15" s="4">
        <f ca="1">Table1346[[#This Row],[Column1]]*VALUE(SUBSTITUTE(LEFT(Table1346[[#This Row],[normal price/real milage]],3),",",""))</f>
        <v>2.9781259595726435</v>
      </c>
      <c r="N15" s="4"/>
    </row>
    <row r="16" spans="1:18" x14ac:dyDescent="0.25">
      <c r="A16" s="1">
        <v>45081</v>
      </c>
      <c r="B16">
        <v>128</v>
      </c>
      <c r="C16" s="5">
        <v>6999</v>
      </c>
      <c r="D16">
        <v>2009</v>
      </c>
      <c r="E16" t="s">
        <v>84</v>
      </c>
      <c r="F16" t="s">
        <v>1</v>
      </c>
      <c r="G16">
        <v>200000</v>
      </c>
      <c r="H16" s="4">
        <f>Table1346[[#This Row],[Price]]/Table1346[[#This Row],[Mileage]]</f>
        <v>3.4994999999999998E-2</v>
      </c>
      <c r="I16" s="3">
        <f ca="1">Table1346[[#This Row],[Price]]/Table1346[[#This Row],[Age]]</f>
        <v>499.92857142857144</v>
      </c>
      <c r="J16">
        <f ca="1">IF(YEAR(TODAY())=Table1346[[#This Row],[year]],0.8,YEAR(TODAY())-Table1346[[#This Row],[year]])</f>
        <v>14</v>
      </c>
      <c r="K1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1.813      5,692</v>
      </c>
      <c r="L16" s="4">
        <f t="array" aca="1" ref="L16" ca="1">EXP(INDEX(LINEST(LN(Table1346[Price]),Table1346[Age]),1,2))*EXP(INDEX(LINEST(LN(Table1346[Price]),Table1346[Age]),1,1)*Table1346[[#This Row],[Age]])/Table1346[[#This Row],[Price]]</f>
        <v>1.4363216741513531</v>
      </c>
      <c r="M16" s="4">
        <f ca="1">Table1346[[#This Row],[Column1]]*VALUE(SUBSTITUTE(LEFT(Table1346[[#This Row],[normal price/real milage]],3),",",""))</f>
        <v>2.5853790134724357</v>
      </c>
      <c r="N16" s="4"/>
    </row>
    <row r="17" spans="1:14" x14ac:dyDescent="0.25">
      <c r="A17" s="1">
        <v>45081</v>
      </c>
      <c r="B17">
        <v>142</v>
      </c>
      <c r="C17" s="5">
        <v>7500</v>
      </c>
      <c r="D17">
        <v>2007</v>
      </c>
      <c r="E17" t="s">
        <v>84</v>
      </c>
      <c r="F17" t="s">
        <v>1</v>
      </c>
      <c r="G17">
        <v>155000</v>
      </c>
      <c r="H17" s="4">
        <f>Table1346[[#This Row],[Price]]/Table1346[[#This Row],[Mileage]]</f>
        <v>4.8387096774193547E-2</v>
      </c>
      <c r="I17" s="3">
        <f ca="1">Table1346[[#This Row],[Price]]/Table1346[[#This Row],[Age]]</f>
        <v>468.75</v>
      </c>
      <c r="J17">
        <f ca="1">IF(YEAR(TODAY())=Table1346[[#This Row],[year]],0.8,YEAR(TODAY())-Table1346[[#This Row],[year]])</f>
        <v>16</v>
      </c>
      <c r="K1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2.141      8,557</v>
      </c>
      <c r="L17" s="4">
        <f t="array" aca="1" ref="L17" ca="1">EXP(INDEX(LINEST(LN(Table1346[Price]),Table1346[Age]),1,2))*EXP(INDEX(LINEST(LN(Table1346[Price]),Table1346[Age]),1,1)*Table1346[[#This Row],[Age]])/Table1346[[#This Row],[Price]]</f>
        <v>1.155286511675957</v>
      </c>
      <c r="M17" s="4">
        <f ca="1">Table1346[[#This Row],[Column1]]*VALUE(SUBSTITUTE(LEFT(Table1346[[#This Row],[normal price/real milage]],3),",",""))</f>
        <v>2.4261016745195096</v>
      </c>
      <c r="N17" s="4"/>
    </row>
    <row r="18" spans="1:14" x14ac:dyDescent="0.25">
      <c r="A18" s="1">
        <v>45081</v>
      </c>
      <c r="B18">
        <v>32</v>
      </c>
      <c r="C18" s="5">
        <v>5450</v>
      </c>
      <c r="D18">
        <v>2008</v>
      </c>
      <c r="E18" t="s">
        <v>84</v>
      </c>
      <c r="F18" t="s">
        <v>9</v>
      </c>
      <c r="G18">
        <v>310000</v>
      </c>
      <c r="H18" s="4">
        <f>Table1346[[#This Row],[Price]]/Table1346[[#This Row],[Mileage]]</f>
        <v>1.7580645161290324E-2</v>
      </c>
      <c r="I18" s="3">
        <f ca="1">Table1346[[#This Row],[Price]]/Table1346[[#This Row],[Age]]</f>
        <v>363.33333333333331</v>
      </c>
      <c r="J18">
        <f ca="1">IF(YEAR(TODAY())=Table1346[[#This Row],[year]],0.8,YEAR(TODAY())-Table1346[[#This Row],[year]])</f>
        <v>15</v>
      </c>
      <c r="K1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0.819      -987</v>
      </c>
      <c r="L18" s="4">
        <f t="array" aca="1" ref="L18" ca="1">EXP(INDEX(LINEST(LN(Table1346[Price]),Table1346[Age]),1,2))*EXP(INDEX(LINEST(LN(Table1346[Price]),Table1346[Age]),1,1)*Table1346[[#This Row],[Age]])/Table1346[[#This Row],[Price]]</f>
        <v>1.7124694582362761</v>
      </c>
      <c r="M18" s="4">
        <f ca="1">Table1346[[#This Row],[Column1]]*VALUE(SUBSTITUTE(LEFT(Table1346[[#This Row],[normal price/real milage]],3),",",""))</f>
        <v>1.369975566589021</v>
      </c>
      <c r="N18" s="4"/>
    </row>
    <row r="19" spans="1:14" x14ac:dyDescent="0.25">
      <c r="A19" s="1">
        <v>45081</v>
      </c>
      <c r="B19">
        <v>15</v>
      </c>
      <c r="C19" s="5">
        <v>9400</v>
      </c>
      <c r="D19">
        <v>2016</v>
      </c>
      <c r="E19" t="s">
        <v>84</v>
      </c>
      <c r="F19" t="s">
        <v>9</v>
      </c>
      <c r="G19">
        <v>101000</v>
      </c>
      <c r="H19" s="4">
        <f>Table1346[[#This Row],[Price]]/Table1346[[#This Row],[Mileage]]</f>
        <v>9.3069306930693069E-2</v>
      </c>
      <c r="I19" s="3">
        <f ca="1">Table1346[[#This Row],[Price]]/Table1346[[#This Row],[Age]]</f>
        <v>1342.8571428571429</v>
      </c>
      <c r="J19">
        <f ca="1">IF(YEAR(TODAY())=Table1346[[#This Row],[year]],0.8,YEAR(TODAY())-Table1346[[#This Row],[year]])</f>
        <v>7</v>
      </c>
      <c r="K1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2.138      10,696</v>
      </c>
      <c r="L19" s="4">
        <f t="array" aca="1" ref="L19" ca="1">EXP(INDEX(LINEST(LN(Table1346[Price]),Table1346[Age]),1,2))*EXP(INDEX(LINEST(LN(Table1346[Price]),Table1346[Age]),1,1)*Table1346[[#This Row],[Age]])/Table1346[[#This Row],[Price]]</f>
        <v>1.7990301781962135</v>
      </c>
      <c r="M19" s="4">
        <f ca="1">Table1346[[#This Row],[Column1]]*VALUE(SUBSTITUTE(LEFT(Table1346[[#This Row],[normal price/real milage]],3),",",""))</f>
        <v>3.7779633742120486</v>
      </c>
      <c r="N19" s="4"/>
    </row>
    <row r="20" spans="1:14" x14ac:dyDescent="0.25">
      <c r="A20" s="1">
        <v>45081</v>
      </c>
      <c r="B20">
        <v>46</v>
      </c>
      <c r="C20" s="5">
        <v>7500</v>
      </c>
      <c r="D20">
        <v>2009</v>
      </c>
      <c r="E20" t="s">
        <v>84</v>
      </c>
      <c r="F20" t="s">
        <v>1</v>
      </c>
      <c r="G20">
        <v>179000</v>
      </c>
      <c r="H20" s="4">
        <f>Table1346[[#This Row],[Price]]/Table1346[[#This Row],[Mileage]]</f>
        <v>4.189944134078212E-2</v>
      </c>
      <c r="I20" s="3">
        <f ca="1">Table1346[[#This Row],[Price]]/Table1346[[#This Row],[Age]]</f>
        <v>535.71428571428567</v>
      </c>
      <c r="J20">
        <f ca="1">IF(YEAR(TODAY())=Table1346[[#This Row],[year]],0.8,YEAR(TODAY())-Table1346[[#This Row],[year]])</f>
        <v>14</v>
      </c>
      <c r="K2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1.902      6,762</v>
      </c>
      <c r="L20" s="4">
        <f t="array" aca="1" ref="L20" ca="1">EXP(INDEX(LINEST(LN(Table1346[Price]),Table1346[Age]),1,2))*EXP(INDEX(LINEST(LN(Table1346[Price]),Table1346[Age]),1,1)*Table1346[[#This Row],[Age]])/Table1346[[#This Row],[Price]]</f>
        <v>1.3403753863180428</v>
      </c>
      <c r="M20" s="4">
        <f ca="1">Table1346[[#This Row],[Column1]]*VALUE(SUBSTITUTE(LEFT(Table1346[[#This Row],[normal price/real milage]],3),",",""))</f>
        <v>2.5467132340042813</v>
      </c>
      <c r="N20" s="4"/>
    </row>
    <row r="21" spans="1:14" x14ac:dyDescent="0.25">
      <c r="A21" s="1">
        <v>45081</v>
      </c>
      <c r="B21">
        <v>47</v>
      </c>
      <c r="C21" s="5">
        <v>7995</v>
      </c>
      <c r="D21">
        <v>2011</v>
      </c>
      <c r="E21" t="s">
        <v>84</v>
      </c>
      <c r="F21" t="s">
        <v>1</v>
      </c>
      <c r="G21">
        <v>179000</v>
      </c>
      <c r="H21" s="4">
        <f>Table1346[[#This Row],[Price]]/Table1346[[#This Row],[Mileage]]</f>
        <v>4.466480446927374E-2</v>
      </c>
      <c r="I21" s="3">
        <f ca="1">Table1346[[#This Row],[Price]]/Table1346[[#This Row],[Age]]</f>
        <v>666.25</v>
      </c>
      <c r="J21">
        <f ca="1">IF(YEAR(TODAY())=Table1346[[#This Row],[year]],0.8,YEAR(TODAY())-Table1346[[#This Row],[year]])</f>
        <v>12</v>
      </c>
      <c r="K2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1.784      6,267</v>
      </c>
      <c r="L21" s="4">
        <f t="array" aca="1" ref="L21" ca="1">EXP(INDEX(LINEST(LN(Table1346[Price]),Table1346[Age]),1,2))*EXP(INDEX(LINEST(LN(Table1346[Price]),Table1346[Age]),1,1)*Table1346[[#This Row],[Age]])/Table1346[[#This Row],[Price]]</f>
        <v>1.4588343501617969</v>
      </c>
      <c r="M21" s="4">
        <f ca="1">Table1346[[#This Row],[Column1]]*VALUE(SUBSTITUTE(LEFT(Table1346[[#This Row],[normal price/real milage]],3),",",""))</f>
        <v>2.4800183952750547</v>
      </c>
      <c r="N21" s="4"/>
    </row>
    <row r="22" spans="1:14" x14ac:dyDescent="0.25">
      <c r="A22" s="1">
        <v>45081</v>
      </c>
      <c r="B22">
        <v>143</v>
      </c>
      <c r="C22" s="5">
        <v>7040</v>
      </c>
      <c r="D22">
        <v>2001</v>
      </c>
      <c r="E22" t="s">
        <v>84</v>
      </c>
      <c r="F22" t="s">
        <v>9</v>
      </c>
      <c r="G22">
        <v>174000</v>
      </c>
      <c r="H22" s="4">
        <f>Table1346[[#This Row],[Price]]/Table1346[[#This Row],[Mileage]]</f>
        <v>4.0459770114942527E-2</v>
      </c>
      <c r="I22" s="3">
        <f ca="1">Table1346[[#This Row],[Price]]/Table1346[[#This Row],[Age]]</f>
        <v>320</v>
      </c>
      <c r="J22">
        <f ca="1">IF(YEAR(TODAY())=Table1346[[#This Row],[year]],0.8,YEAR(TODAY())-Table1346[[#This Row],[year]])</f>
        <v>22</v>
      </c>
      <c r="K2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2.079      7,596</v>
      </c>
      <c r="L22" s="4">
        <f t="array" aca="1" ref="L22" ca="1">EXP(INDEX(LINEST(LN(Table1346[Price]),Table1346[Age]),1,2))*EXP(INDEX(LINEST(LN(Table1346[Price]),Table1346[Age]),1,1)*Table1346[[#This Row],[Age]])/Table1346[[#This Row],[Price]]</f>
        <v>0.78807596626831267</v>
      </c>
      <c r="M22" s="4">
        <f ca="1">Table1346[[#This Row],[Column1]]*VALUE(SUBSTITUTE(LEFT(Table1346[[#This Row],[normal price/real milage]],3),",",""))</f>
        <v>1.5761519325366253</v>
      </c>
      <c r="N22" s="4"/>
    </row>
    <row r="23" spans="1:14" x14ac:dyDescent="0.25">
      <c r="A23" s="1">
        <v>45081</v>
      </c>
      <c r="B23">
        <v>114</v>
      </c>
      <c r="C23" s="5">
        <v>5770</v>
      </c>
      <c r="D23">
        <v>2011</v>
      </c>
      <c r="E23" t="s">
        <v>84</v>
      </c>
      <c r="F23" t="s">
        <v>1</v>
      </c>
      <c r="G23">
        <v>318000</v>
      </c>
      <c r="H23" s="4">
        <f>Table1346[[#This Row],[Price]]/Table1346[[#This Row],[Mileage]]</f>
        <v>1.8144654088050313E-2</v>
      </c>
      <c r="I23" s="3">
        <f ca="1">Table1346[[#This Row],[Price]]/Table1346[[#This Row],[Age]]</f>
        <v>480.83333333333331</v>
      </c>
      <c r="J23">
        <f ca="1">IF(YEAR(TODAY())=Table1346[[#This Row],[year]],0.8,YEAR(TODAY())-Table1346[[#This Row],[year]])</f>
        <v>12</v>
      </c>
      <c r="K2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0.670      -1,905</v>
      </c>
      <c r="L23" s="4">
        <f t="array" aca="1" ref="L23" ca="1">EXP(INDEX(LINEST(LN(Table1346[Price]),Table1346[Age]),1,2))*EXP(INDEX(LINEST(LN(Table1346[Price]),Table1346[Age]),1,1)*Table1346[[#This Row],[Age]])/Table1346[[#This Row],[Price]]</f>
        <v>2.0213831247042577</v>
      </c>
      <c r="M23" s="4">
        <f ca="1">Table1346[[#This Row],[Column1]]*VALUE(SUBSTITUTE(LEFT(Table1346[[#This Row],[normal price/real milage]],3),",",""))</f>
        <v>1.2128298748225546</v>
      </c>
      <c r="N23" s="4"/>
    </row>
    <row r="24" spans="1:14" x14ac:dyDescent="0.25">
      <c r="A24" s="1">
        <v>45081</v>
      </c>
      <c r="B24">
        <v>124</v>
      </c>
      <c r="C24" s="5">
        <v>8300</v>
      </c>
      <c r="D24">
        <v>2011</v>
      </c>
      <c r="E24" t="s">
        <v>84</v>
      </c>
      <c r="F24" t="s">
        <v>1</v>
      </c>
      <c r="G24">
        <v>178000</v>
      </c>
      <c r="H24" s="4">
        <f>Table1346[[#This Row],[Price]]/Table1346[[#This Row],[Mileage]]</f>
        <v>4.6629213483146068E-2</v>
      </c>
      <c r="I24" s="3">
        <f ca="1">Table1346[[#This Row],[Price]]/Table1346[[#This Row],[Age]]</f>
        <v>691.66666666666663</v>
      </c>
      <c r="J24">
        <f ca="1">IF(YEAR(TODAY())=Table1346[[#This Row],[year]],0.8,YEAR(TODAY())-Table1346[[#This Row],[year]])</f>
        <v>12</v>
      </c>
      <c r="K2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1.727      6,036</v>
      </c>
      <c r="L24" s="4">
        <f t="array" aca="1" ref="L24" ca="1">EXP(INDEX(LINEST(LN(Table1346[Price]),Table1346[Age]),1,2))*EXP(INDEX(LINEST(LN(Table1346[Price]),Table1346[Age]),1,1)*Table1346[[#This Row],[Age]])/Table1346[[#This Row],[Price]]</f>
        <v>1.4052265818727188</v>
      </c>
      <c r="M24" s="4">
        <f ca="1">Table1346[[#This Row],[Column1]]*VALUE(SUBSTITUTE(LEFT(Table1346[[#This Row],[normal price/real milage]],3),",",""))</f>
        <v>2.3888851891836218</v>
      </c>
      <c r="N24" s="4"/>
    </row>
    <row r="25" spans="1:14" x14ac:dyDescent="0.25">
      <c r="A25" s="1">
        <v>45081</v>
      </c>
      <c r="B25">
        <v>137</v>
      </c>
      <c r="C25" s="5">
        <v>7900</v>
      </c>
      <c r="D25">
        <v>2007</v>
      </c>
      <c r="E25" t="s">
        <v>84</v>
      </c>
      <c r="F25" t="s">
        <v>1</v>
      </c>
      <c r="G25">
        <v>170000</v>
      </c>
      <c r="H25" s="4">
        <f>Table1346[[#This Row],[Price]]/Table1346[[#This Row],[Mileage]]</f>
        <v>4.6470588235294118E-2</v>
      </c>
      <c r="I25" s="3">
        <f ca="1">Table1346[[#This Row],[Price]]/Table1346[[#This Row],[Age]]</f>
        <v>493.75</v>
      </c>
      <c r="J25">
        <f ca="1">IF(YEAR(TODAY())=Table1346[[#This Row],[year]],0.8,YEAR(TODAY())-Table1346[[#This Row],[year]])</f>
        <v>16</v>
      </c>
      <c r="K2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1.890      7,035</v>
      </c>
      <c r="L25" s="4">
        <f t="array" aca="1" ref="L25" ca="1">EXP(INDEX(LINEST(LN(Table1346[Price]),Table1346[Age]),1,2))*EXP(INDEX(LINEST(LN(Table1346[Price]),Table1346[Age]),1,1)*Table1346[[#This Row],[Age]])/Table1346[[#This Row],[Price]]</f>
        <v>1.0967909920974275</v>
      </c>
      <c r="M25" s="4">
        <f ca="1">Table1346[[#This Row],[Column1]]*VALUE(SUBSTITUTE(LEFT(Table1346[[#This Row],[normal price/real milage]],3),",",""))</f>
        <v>1.9742237857753695</v>
      </c>
      <c r="N25" s="4"/>
    </row>
    <row r="26" spans="1:14" x14ac:dyDescent="0.25">
      <c r="A26" s="1">
        <v>45081</v>
      </c>
      <c r="B26">
        <v>145</v>
      </c>
      <c r="C26" s="5">
        <v>8550</v>
      </c>
      <c r="D26">
        <v>2008</v>
      </c>
      <c r="E26" t="s">
        <v>84</v>
      </c>
      <c r="F26" t="s">
        <v>1</v>
      </c>
      <c r="G26">
        <v>175000</v>
      </c>
      <c r="H26" s="4">
        <f>Table1346[[#This Row],[Price]]/Table1346[[#This Row],[Mileage]]</f>
        <v>4.8857142857142856E-2</v>
      </c>
      <c r="I26" s="3">
        <f ca="1">Table1346[[#This Row],[Price]]/Table1346[[#This Row],[Age]]</f>
        <v>570</v>
      </c>
      <c r="J26">
        <f ca="1">IF(YEAR(TODAY())=Table1346[[#This Row],[year]],0.8,YEAR(TODAY())-Table1346[[#This Row],[year]])</f>
        <v>15</v>
      </c>
      <c r="K2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1.703      6,011</v>
      </c>
      <c r="L26" s="4">
        <f t="array" aca="1" ref="L26" ca="1">EXP(INDEX(LINEST(LN(Table1346[Price]),Table1346[Age]),1,2))*EXP(INDEX(LINEST(LN(Table1346[Price]),Table1346[Age]),1,1)*Table1346[[#This Row],[Age]])/Table1346[[#This Row],[Price]]</f>
        <v>1.0915740991096732</v>
      </c>
      <c r="M26" s="4">
        <f ca="1">Table1346[[#This Row],[Column1]]*VALUE(SUBSTITUTE(LEFT(Table1346[[#This Row],[normal price/real milage]],3),",",""))</f>
        <v>1.8556759684864443</v>
      </c>
      <c r="N26" s="4"/>
    </row>
    <row r="27" spans="1:14" x14ac:dyDescent="0.25">
      <c r="A27" s="1">
        <v>45081</v>
      </c>
      <c r="B27">
        <v>48</v>
      </c>
      <c r="C27" s="5">
        <v>8500</v>
      </c>
      <c r="D27">
        <v>2007</v>
      </c>
      <c r="E27" t="s">
        <v>84</v>
      </c>
      <c r="F27" t="s">
        <v>1</v>
      </c>
      <c r="G27">
        <v>179000</v>
      </c>
      <c r="H27" s="4">
        <f>Table1346[[#This Row],[Price]]/Table1346[[#This Row],[Mileage]]</f>
        <v>4.7486033519553071E-2</v>
      </c>
      <c r="I27" s="3">
        <f ca="1">Table1346[[#This Row],[Price]]/Table1346[[#This Row],[Age]]</f>
        <v>531.25</v>
      </c>
      <c r="J27">
        <f ca="1">IF(YEAR(TODAY())=Table1346[[#This Row],[year]],0.8,YEAR(TODAY())-Table1346[[#This Row],[year]])</f>
        <v>16</v>
      </c>
      <c r="K2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1.678      5,762</v>
      </c>
      <c r="L27" s="4">
        <f t="array" aca="1" ref="L27" ca="1">EXP(INDEX(LINEST(LN(Table1346[Price]),Table1346[Age]),1,2))*EXP(INDEX(LINEST(LN(Table1346[Price]),Table1346[Age]),1,1)*Table1346[[#This Row],[Age]])/Table1346[[#This Row],[Price]]</f>
        <v>1.0193704514787856</v>
      </c>
      <c r="M27" s="4">
        <f ca="1">Table1346[[#This Row],[Column1]]*VALUE(SUBSTITUTE(LEFT(Table1346[[#This Row],[normal price/real milage]],3),",",""))</f>
        <v>1.630992722366057</v>
      </c>
      <c r="N27" s="4"/>
    </row>
    <row r="28" spans="1:14" x14ac:dyDescent="0.25">
      <c r="A28" s="1">
        <v>45081</v>
      </c>
      <c r="B28">
        <v>79</v>
      </c>
      <c r="C28" s="5">
        <v>9999</v>
      </c>
      <c r="D28">
        <v>2010</v>
      </c>
      <c r="E28" t="s">
        <v>84</v>
      </c>
      <c r="F28" t="s">
        <v>1</v>
      </c>
      <c r="G28">
        <v>115000</v>
      </c>
      <c r="H28" s="4">
        <f>Table1346[[#This Row],[Price]]/Table1346[[#This Row],[Mileage]]</f>
        <v>8.6947826086956517E-2</v>
      </c>
      <c r="I28" s="3">
        <f ca="1">Table1346[[#This Row],[Price]]/Table1346[[#This Row],[Age]]</f>
        <v>769.15384615384619</v>
      </c>
      <c r="J28">
        <f ca="1">IF(YEAR(TODAY())=Table1346[[#This Row],[year]],0.8,YEAR(TODAY())-Table1346[[#This Row],[year]])</f>
        <v>13</v>
      </c>
      <c r="K2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1.905      9,050</v>
      </c>
      <c r="L28" s="4">
        <f t="array" aca="1" ref="L28" ca="1">EXP(INDEX(LINEST(LN(Table1346[Price]),Table1346[Age]),1,2))*EXP(INDEX(LINEST(LN(Table1346[Price]),Table1346[Age]),1,1)*Table1346[[#This Row],[Age]])/Table1346[[#This Row],[Price]]</f>
        <v>1.0829278178100343</v>
      </c>
      <c r="M28" s="4">
        <f ca="1">Table1346[[#This Row],[Column1]]*VALUE(SUBSTITUTE(LEFT(Table1346[[#This Row],[normal price/real milage]],3),",",""))</f>
        <v>2.0575628538390651</v>
      </c>
      <c r="N28" s="4"/>
    </row>
    <row r="29" spans="1:14" x14ac:dyDescent="0.25">
      <c r="A29" s="1">
        <v>45081</v>
      </c>
      <c r="B29">
        <v>8</v>
      </c>
      <c r="C29" s="5">
        <v>9300</v>
      </c>
      <c r="D29">
        <v>2011</v>
      </c>
      <c r="E29" t="s">
        <v>84</v>
      </c>
      <c r="F29" t="s">
        <v>1</v>
      </c>
      <c r="G29">
        <v>172000</v>
      </c>
      <c r="H29" s="4">
        <f>Table1346[[#This Row],[Price]]/Table1346[[#This Row],[Mileage]]</f>
        <v>5.4069767441860463E-2</v>
      </c>
      <c r="I29" s="3">
        <f ca="1">Table1346[[#This Row],[Price]]/Table1346[[#This Row],[Age]]</f>
        <v>775</v>
      </c>
      <c r="J29">
        <f ca="1">IF(YEAR(TODAY())=Table1346[[#This Row],[year]],0.8,YEAR(TODAY())-Table1346[[#This Row],[year]])</f>
        <v>12</v>
      </c>
      <c r="K2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1.590      5,485</v>
      </c>
      <c r="L29" s="4">
        <f t="array" aca="1" ref="L29" ca="1">EXP(INDEX(LINEST(LN(Table1346[Price]),Table1346[Age]),1,2))*EXP(INDEX(LINEST(LN(Table1346[Price]),Table1346[Age]),1,1)*Table1346[[#This Row],[Age]])/Table1346[[#This Row],[Price]]</f>
        <v>1.2541269494132867</v>
      </c>
      <c r="M29" s="4">
        <f ca="1">Table1346[[#This Row],[Column1]]*VALUE(SUBSTITUTE(LEFT(Table1346[[#This Row],[normal price/real milage]],3),",",""))</f>
        <v>1.88119042411993</v>
      </c>
      <c r="N29" s="4"/>
    </row>
    <row r="30" spans="1:14" x14ac:dyDescent="0.25">
      <c r="A30" s="1">
        <v>45081</v>
      </c>
      <c r="B30">
        <v>83</v>
      </c>
      <c r="C30" s="5">
        <v>7995</v>
      </c>
      <c r="D30">
        <v>2014</v>
      </c>
      <c r="E30" t="s">
        <v>84</v>
      </c>
      <c r="F30" t="s">
        <v>1</v>
      </c>
      <c r="G30">
        <v>286000</v>
      </c>
      <c r="H30" s="4">
        <f>Table1346[[#This Row],[Price]]/Table1346[[#This Row],[Mileage]]</f>
        <v>2.7954545454545454E-2</v>
      </c>
      <c r="I30" s="3">
        <f ca="1">Table1346[[#This Row],[Price]]/Table1346[[#This Row],[Age]]</f>
        <v>888.33333333333337</v>
      </c>
      <c r="J30">
        <f ca="1">IF(YEAR(TODAY())=Table1346[[#This Row],[year]],0.8,YEAR(TODAY())-Table1346[[#This Row],[year]])</f>
        <v>9</v>
      </c>
      <c r="K3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0.783      -1,737</v>
      </c>
      <c r="L30" s="4">
        <f t="array" aca="1" ref="L30" ca="1">EXP(INDEX(LINEST(LN(Table1346[Price]),Table1346[Age]),1,2))*EXP(INDEX(LINEST(LN(Table1346[Price]),Table1346[Age]),1,1)*Table1346[[#This Row],[Age]])/Table1346[[#This Row],[Price]]</f>
        <v>1.8231025258493574</v>
      </c>
      <c r="M30" s="4">
        <f ca="1">Table1346[[#This Row],[Column1]]*VALUE(SUBSTITUTE(LEFT(Table1346[[#This Row],[normal price/real milage]],3),",",""))</f>
        <v>1.2761717680945501</v>
      </c>
      <c r="N30" s="4"/>
    </row>
    <row r="31" spans="1:14" x14ac:dyDescent="0.25">
      <c r="A31" s="1">
        <v>45081</v>
      </c>
      <c r="B31">
        <v>20</v>
      </c>
      <c r="C31" s="5">
        <v>7400</v>
      </c>
      <c r="D31">
        <v>2011</v>
      </c>
      <c r="E31" t="s">
        <v>84</v>
      </c>
      <c r="F31" t="s">
        <v>87</v>
      </c>
      <c r="G31">
        <v>300000</v>
      </c>
      <c r="H31" s="4">
        <f>Table1346[[#This Row],[Price]]/Table1346[[#This Row],[Mileage]]</f>
        <v>2.4666666666666667E-2</v>
      </c>
      <c r="I31" s="3">
        <f ca="1">Table1346[[#This Row],[Price]]/Table1346[[#This Row],[Age]]</f>
        <v>616.66666666666663</v>
      </c>
      <c r="J31">
        <f ca="1">IF(YEAR(TODAY())=Table1346[[#This Row],[year]],0.8,YEAR(TODAY())-Table1346[[#This Row],[year]])</f>
        <v>12</v>
      </c>
      <c r="K3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0.704      -2,189</v>
      </c>
      <c r="L31" s="4">
        <f t="array" aca="1" ref="L31" ca="1">EXP(INDEX(LINEST(LN(Table1346[Price]),Table1346[Age]),1,2))*EXP(INDEX(LINEST(LN(Table1346[Price]),Table1346[Age]),1,1)*Table1346[[#This Row],[Age]])/Table1346[[#This Row],[Price]]</f>
        <v>1.5761325175058873</v>
      </c>
      <c r="M31" s="4">
        <f ca="1">Table1346[[#This Row],[Column1]]*VALUE(SUBSTITUTE(LEFT(Table1346[[#This Row],[normal price/real milage]],3),",",""))</f>
        <v>1.1032927622541211</v>
      </c>
      <c r="N31" s="4"/>
    </row>
    <row r="32" spans="1:14" x14ac:dyDescent="0.25">
      <c r="A32" s="1">
        <v>45081</v>
      </c>
      <c r="B32">
        <v>27</v>
      </c>
      <c r="C32" s="5">
        <v>9900</v>
      </c>
      <c r="D32">
        <v>2010</v>
      </c>
      <c r="E32" t="s">
        <v>84</v>
      </c>
      <c r="F32" t="s">
        <v>7</v>
      </c>
      <c r="G32">
        <v>160000</v>
      </c>
      <c r="H32" s="4">
        <f>Table1346[[#This Row],[Price]]/Table1346[[#This Row],[Mileage]]</f>
        <v>6.1874999999999999E-2</v>
      </c>
      <c r="I32" s="3">
        <f ca="1">Table1346[[#This Row],[Price]]/Table1346[[#This Row],[Age]]</f>
        <v>761.53846153846155</v>
      </c>
      <c r="J32">
        <f ca="1">IF(YEAR(TODAY())=Table1346[[#This Row],[year]],0.8,YEAR(TODAY())-Table1346[[#This Row],[year]])</f>
        <v>13</v>
      </c>
      <c r="K3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1.584      5,783</v>
      </c>
      <c r="L32" s="4">
        <f t="array" aca="1" ref="L32" ca="1">EXP(INDEX(LINEST(LN(Table1346[Price]),Table1346[Age]),1,2))*EXP(INDEX(LINEST(LN(Table1346[Price]),Table1346[Age]),1,1)*Table1346[[#This Row],[Age]])/Table1346[[#This Row],[Price]]</f>
        <v>1.0937570959881346</v>
      </c>
      <c r="M32" s="4">
        <f ca="1">Table1346[[#This Row],[Column1]]*VALUE(SUBSTITUTE(LEFT(Table1346[[#This Row],[normal price/real milage]],3),",",""))</f>
        <v>1.6406356439822019</v>
      </c>
      <c r="N32" s="4"/>
    </row>
    <row r="33" spans="1:14" x14ac:dyDescent="0.25">
      <c r="A33" s="1">
        <v>45081</v>
      </c>
      <c r="B33">
        <v>125</v>
      </c>
      <c r="C33" s="5">
        <v>7999</v>
      </c>
      <c r="D33">
        <v>2013</v>
      </c>
      <c r="E33" t="s">
        <v>84</v>
      </c>
      <c r="F33" t="s">
        <v>1</v>
      </c>
      <c r="G33">
        <v>280000</v>
      </c>
      <c r="H33" s="4">
        <f>Table1346[[#This Row],[Price]]/Table1346[[#This Row],[Mileage]]</f>
        <v>2.8567857142857141E-2</v>
      </c>
      <c r="I33" s="3">
        <f ca="1">Table1346[[#This Row],[Price]]/Table1346[[#This Row],[Age]]</f>
        <v>799.9</v>
      </c>
      <c r="J33">
        <f ca="1">IF(YEAR(TODAY())=Table1346[[#This Row],[year]],0.8,YEAR(TODAY())-Table1346[[#This Row],[year]])</f>
        <v>10</v>
      </c>
      <c r="K3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0.838      -1,292</v>
      </c>
      <c r="L33" s="4">
        <f t="array" aca="1" ref="L33" ca="1">EXP(INDEX(LINEST(LN(Table1346[Price]),Table1346[Age]),1,2))*EXP(INDEX(LINEST(LN(Table1346[Price]),Table1346[Age]),1,1)*Table1346[[#This Row],[Age]])/Table1346[[#This Row],[Price]]</f>
        <v>1.6917083518807823</v>
      </c>
      <c r="M33" s="4">
        <f ca="1">Table1346[[#This Row],[Column1]]*VALUE(SUBSTITUTE(LEFT(Table1346[[#This Row],[normal price/real milage]],3),",",""))</f>
        <v>1.3533666815046259</v>
      </c>
      <c r="N33" s="4"/>
    </row>
    <row r="34" spans="1:14" x14ac:dyDescent="0.25">
      <c r="A34" s="1">
        <v>45081</v>
      </c>
      <c r="B34">
        <v>138</v>
      </c>
      <c r="C34" s="5">
        <v>10500</v>
      </c>
      <c r="D34">
        <v>2011</v>
      </c>
      <c r="E34" t="s">
        <v>84</v>
      </c>
      <c r="F34" t="s">
        <v>102</v>
      </c>
      <c r="G34">
        <v>165000</v>
      </c>
      <c r="H34" s="4">
        <f>Table1346[[#This Row],[Price]]/Table1346[[#This Row],[Mileage]]</f>
        <v>6.363636363636363E-2</v>
      </c>
      <c r="I34" s="3">
        <f ca="1">Table1346[[#This Row],[Price]]/Table1346[[#This Row],[Age]]</f>
        <v>875</v>
      </c>
      <c r="J34">
        <f ca="1">IF(YEAR(TODAY())=Table1346[[#This Row],[year]],0.8,YEAR(TODAY())-Table1346[[#This Row],[year]])</f>
        <v>12</v>
      </c>
      <c r="K3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1.458      4,809</v>
      </c>
      <c r="L34" s="4">
        <f t="array" aca="1" ref="L34" ca="1">EXP(INDEX(LINEST(LN(Table1346[Price]),Table1346[Age]),1,2))*EXP(INDEX(LINEST(LN(Table1346[Price]),Table1346[Age]),1,1)*Table1346[[#This Row],[Age]])/Table1346[[#This Row],[Price]]</f>
        <v>1.1107981551946253</v>
      </c>
      <c r="M34" s="4">
        <f ca="1">Table1346[[#This Row],[Column1]]*VALUE(SUBSTITUTE(LEFT(Table1346[[#This Row],[normal price/real milage]],3),",",""))</f>
        <v>1.5551174172724753</v>
      </c>
      <c r="N34" s="4"/>
    </row>
    <row r="35" spans="1:14" x14ac:dyDescent="0.25">
      <c r="A35" s="1">
        <v>45081</v>
      </c>
      <c r="B35">
        <v>55</v>
      </c>
      <c r="C35" s="5">
        <v>11000</v>
      </c>
      <c r="D35">
        <v>2008</v>
      </c>
      <c r="E35" t="s">
        <v>84</v>
      </c>
      <c r="F35" t="s">
        <v>7</v>
      </c>
      <c r="G35">
        <v>98000</v>
      </c>
      <c r="H35" s="4">
        <f>Table1346[[#This Row],[Price]]/Table1346[[#This Row],[Mileage]]</f>
        <v>0.11224489795918367</v>
      </c>
      <c r="I35" s="3">
        <f ca="1">Table1346[[#This Row],[Price]]/Table1346[[#This Row],[Age]]</f>
        <v>733.33333333333337</v>
      </c>
      <c r="J35">
        <f ca="1">IF(YEAR(TODAY())=Table1346[[#This Row],[year]],0.8,YEAR(TODAY())-Table1346[[#This Row],[year]])</f>
        <v>15</v>
      </c>
      <c r="K3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1.847      9,320</v>
      </c>
      <c r="L35" s="4">
        <f t="array" aca="1" ref="L35" ca="1">EXP(INDEX(LINEST(LN(Table1346[Price]),Table1346[Age]),1,2))*EXP(INDEX(LINEST(LN(Table1346[Price]),Table1346[Age]),1,1)*Table1346[[#This Row],[Age]])/Table1346[[#This Row],[Price]]</f>
        <v>0.84845077703524596</v>
      </c>
      <c r="M35" s="4">
        <f ca="1">Table1346[[#This Row],[Column1]]*VALUE(SUBSTITUTE(LEFT(Table1346[[#This Row],[normal price/real milage]],3),",",""))</f>
        <v>1.5272113986634428</v>
      </c>
      <c r="N35" s="4"/>
    </row>
    <row r="36" spans="1:14" x14ac:dyDescent="0.25">
      <c r="A36" s="1">
        <v>45081</v>
      </c>
      <c r="B36">
        <v>134</v>
      </c>
      <c r="C36" s="5">
        <v>8500</v>
      </c>
      <c r="D36">
        <v>2011</v>
      </c>
      <c r="E36" t="s">
        <v>84</v>
      </c>
      <c r="F36" t="s">
        <v>1</v>
      </c>
      <c r="G36">
        <v>260000</v>
      </c>
      <c r="H36" s="4">
        <f>Table1346[[#This Row],[Price]]/Table1346[[#This Row],[Mileage]]</f>
        <v>3.2692307692307694E-2</v>
      </c>
      <c r="I36" s="3">
        <f ca="1">Table1346[[#This Row],[Price]]/Table1346[[#This Row],[Age]]</f>
        <v>708.33333333333337</v>
      </c>
      <c r="J36">
        <f ca="1">IF(YEAR(TODAY())=Table1346[[#This Row],[year]],0.8,YEAR(TODAY())-Table1346[[#This Row],[year]])</f>
        <v>12</v>
      </c>
      <c r="K3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0.965      -297</v>
      </c>
      <c r="L36" s="4">
        <f t="array" aca="1" ref="L36" ca="1">EXP(INDEX(LINEST(LN(Table1346[Price]),Table1346[Age]),1,2))*EXP(INDEX(LINEST(LN(Table1346[Price]),Table1346[Age]),1,1)*Table1346[[#This Row],[Age]])/Table1346[[#This Row],[Price]]</f>
        <v>1.3721624270051254</v>
      </c>
      <c r="M36" s="4">
        <f ca="1">Table1346[[#This Row],[Column1]]*VALUE(SUBSTITUTE(LEFT(Table1346[[#This Row],[normal price/real milage]],3),",",""))</f>
        <v>1.2349461843046128</v>
      </c>
      <c r="N36" s="4"/>
    </row>
    <row r="37" spans="1:14" x14ac:dyDescent="0.25">
      <c r="A37" s="1">
        <v>45081</v>
      </c>
      <c r="B37">
        <v>60</v>
      </c>
      <c r="C37" s="5">
        <v>12495</v>
      </c>
      <c r="D37">
        <v>2011</v>
      </c>
      <c r="E37" t="s">
        <v>84</v>
      </c>
      <c r="F37" t="s">
        <v>59</v>
      </c>
      <c r="G37">
        <v>67000</v>
      </c>
      <c r="H37" s="4">
        <f>Table1346[[#This Row],[Price]]/Table1346[[#This Row],[Mileage]]</f>
        <v>0.18649253731343285</v>
      </c>
      <c r="I37" s="3">
        <f ca="1">Table1346[[#This Row],[Price]]/Table1346[[#This Row],[Age]]</f>
        <v>1041.25</v>
      </c>
      <c r="J37">
        <f ca="1">IF(YEAR(TODAY())=Table1346[[#This Row],[year]],0.8,YEAR(TODAY())-Table1346[[#This Row],[year]])</f>
        <v>12</v>
      </c>
      <c r="K3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1.812      10,144</v>
      </c>
      <c r="L37" s="4">
        <f t="array" aca="1" ref="L37" ca="1">EXP(INDEX(LINEST(LN(Table1346[Price]),Table1346[Age]),1,2))*EXP(INDEX(LINEST(LN(Table1346[Price]),Table1346[Age]),1,1)*Table1346[[#This Row],[Age]])/Table1346[[#This Row],[Price]]</f>
        <v>0.9334438278946432</v>
      </c>
      <c r="M37" s="4">
        <f ca="1">Table1346[[#This Row],[Column1]]*VALUE(SUBSTITUTE(LEFT(Table1346[[#This Row],[normal price/real milage]],3),",",""))</f>
        <v>1.6801988902103577</v>
      </c>
      <c r="N37" s="4"/>
    </row>
    <row r="38" spans="1:14" x14ac:dyDescent="0.25">
      <c r="A38" s="1">
        <v>45081</v>
      </c>
      <c r="B38">
        <v>154</v>
      </c>
      <c r="C38" s="5">
        <v>14994</v>
      </c>
      <c r="D38">
        <v>2015</v>
      </c>
      <c r="E38" t="s">
        <v>108</v>
      </c>
      <c r="F38" t="s">
        <v>109</v>
      </c>
      <c r="G38">
        <v>1000</v>
      </c>
      <c r="H38" s="4">
        <f>Table1346[[#This Row],[Price]]/Table1346[[#This Row],[Mileage]]</f>
        <v>14.994</v>
      </c>
      <c r="I38" s="3">
        <f ca="1">Table1346[[#This Row],[Price]]/Table1346[[#This Row],[Age]]</f>
        <v>1874.25</v>
      </c>
      <c r="J38">
        <f ca="1">IF(YEAR(TODAY())=Table1346[[#This Row],[year]],0.8,YEAR(TODAY())-Table1346[[#This Row],[year]])</f>
        <v>8</v>
      </c>
      <c r="K3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1.839      12,582</v>
      </c>
      <c r="L38" s="4">
        <f t="array" aca="1" ref="L38" ca="1">EXP(INDEX(LINEST(LN(Table1346[Price]),Table1346[Age]),1,2))*EXP(INDEX(LINEST(LN(Table1346[Price]),Table1346[Age]),1,1)*Table1346[[#This Row],[Age]])/Table1346[[#This Row],[Price]]</f>
        <v>1.047081351778425</v>
      </c>
      <c r="M38" s="4">
        <f ca="1">Table1346[[#This Row],[Column1]]*VALUE(SUBSTITUTE(LEFT(Table1346[[#This Row],[normal price/real milage]],3),",",""))</f>
        <v>1.884746433201165</v>
      </c>
      <c r="N38" s="4"/>
    </row>
    <row r="39" spans="1:14" x14ac:dyDescent="0.25">
      <c r="A39" s="1">
        <v>45081</v>
      </c>
      <c r="B39">
        <v>121</v>
      </c>
      <c r="C39" s="5">
        <v>11495</v>
      </c>
      <c r="D39">
        <v>2011</v>
      </c>
      <c r="E39" t="s">
        <v>84</v>
      </c>
      <c r="F39" t="s">
        <v>9</v>
      </c>
      <c r="G39">
        <v>178000</v>
      </c>
      <c r="H39" s="4">
        <f>Table1346[[#This Row],[Price]]/Table1346[[#This Row],[Mileage]]</f>
        <v>6.4578651685393257E-2</v>
      </c>
      <c r="I39" s="3">
        <f ca="1">Table1346[[#This Row],[Price]]/Table1346[[#This Row],[Age]]</f>
        <v>957.91666666666663</v>
      </c>
      <c r="J39">
        <f ca="1">IF(YEAR(TODAY())=Table1346[[#This Row],[year]],0.8,YEAR(TODAY())-Table1346[[#This Row],[year]])</f>
        <v>12</v>
      </c>
      <c r="K3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1.247      2,841</v>
      </c>
      <c r="L39" s="4">
        <f t="array" aca="1" ref="L39" ca="1">EXP(INDEX(LINEST(LN(Table1346[Price]),Table1346[Age]),1,2))*EXP(INDEX(LINEST(LN(Table1346[Price]),Table1346[Age]),1,1)*Table1346[[#This Row],[Age]])/Table1346[[#This Row],[Price]]</f>
        <v>1.0146481626397186</v>
      </c>
      <c r="M39" s="4">
        <f ca="1">Table1346[[#This Row],[Column1]]*VALUE(SUBSTITUTE(LEFT(Table1346[[#This Row],[normal price/real milage]],3),",",""))</f>
        <v>1.2175777951676623</v>
      </c>
      <c r="N39" s="4"/>
    </row>
    <row r="40" spans="1:14" x14ac:dyDescent="0.25">
      <c r="A40" s="1">
        <v>45081</v>
      </c>
      <c r="B40">
        <v>144</v>
      </c>
      <c r="C40" s="5">
        <v>12000</v>
      </c>
      <c r="D40">
        <v>2009</v>
      </c>
      <c r="E40" t="s">
        <v>84</v>
      </c>
      <c r="F40" t="s">
        <v>1</v>
      </c>
      <c r="G40">
        <v>148000</v>
      </c>
      <c r="H40" s="4">
        <f>Table1346[[#This Row],[Price]]/Table1346[[#This Row],[Mileage]]</f>
        <v>8.1081081081081086E-2</v>
      </c>
      <c r="I40" s="3">
        <f ca="1">Table1346[[#This Row],[Price]]/Table1346[[#This Row],[Age]]</f>
        <v>857.14285714285711</v>
      </c>
      <c r="J40">
        <f ca="1">IF(YEAR(TODAY())=Table1346[[#This Row],[year]],0.8,YEAR(TODAY())-Table1346[[#This Row],[year]])</f>
        <v>14</v>
      </c>
      <c r="K4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1.382      4,580</v>
      </c>
      <c r="L40" s="4">
        <f t="array" aca="1" ref="L40" ca="1">EXP(INDEX(LINEST(LN(Table1346[Price]),Table1346[Age]),1,2))*EXP(INDEX(LINEST(LN(Table1346[Price]),Table1346[Age]),1,1)*Table1346[[#This Row],[Age]])/Table1346[[#This Row],[Price]]</f>
        <v>0.83773461644877667</v>
      </c>
      <c r="M40" s="4">
        <f ca="1">Table1346[[#This Row],[Column1]]*VALUE(SUBSTITUTE(LEFT(Table1346[[#This Row],[normal price/real milage]],3),",",""))</f>
        <v>1.0890550013834097</v>
      </c>
      <c r="N40" s="4"/>
    </row>
    <row r="41" spans="1:14" x14ac:dyDescent="0.25">
      <c r="A41" s="1">
        <v>45081</v>
      </c>
      <c r="B41">
        <v>69</v>
      </c>
      <c r="C41" s="5">
        <v>12150</v>
      </c>
      <c r="D41">
        <v>2014</v>
      </c>
      <c r="E41" t="s">
        <v>84</v>
      </c>
      <c r="F41" t="s">
        <v>9</v>
      </c>
      <c r="G41">
        <v>187000</v>
      </c>
      <c r="H41" s="4">
        <f>Table1346[[#This Row],[Price]]/Table1346[[#This Row],[Mileage]]</f>
        <v>6.497326203208556E-2</v>
      </c>
      <c r="I41" s="3">
        <f ca="1">Table1346[[#This Row],[Price]]/Table1346[[#This Row],[Age]]</f>
        <v>1350</v>
      </c>
      <c r="J41">
        <f ca="1">IF(YEAR(TODAY())=Table1346[[#This Row],[year]],0.8,YEAR(TODAY())-Table1346[[#This Row],[year]])</f>
        <v>9</v>
      </c>
      <c r="K4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1.125      1,513</v>
      </c>
      <c r="L41" s="4">
        <f t="array" aca="1" ref="L41" ca="1">EXP(INDEX(LINEST(LN(Table1346[Price]),Table1346[Age]),1,2))*EXP(INDEX(LINEST(LN(Table1346[Price]),Table1346[Age]),1,1)*Table1346[[#This Row],[Age]])/Table1346[[#This Row],[Price]]</f>
        <v>1.1996464768860586</v>
      </c>
      <c r="M41" s="4">
        <f ca="1">Table1346[[#This Row],[Column1]]*VALUE(SUBSTITUTE(LEFT(Table1346[[#This Row],[normal price/real milage]],3),",",""))</f>
        <v>1.3196111245746647</v>
      </c>
      <c r="N41" s="4"/>
    </row>
    <row r="42" spans="1:14" x14ac:dyDescent="0.25">
      <c r="A42" s="1">
        <v>45081</v>
      </c>
      <c r="B42">
        <v>75</v>
      </c>
      <c r="C42" s="5">
        <v>13000</v>
      </c>
      <c r="D42">
        <v>2013</v>
      </c>
      <c r="E42" t="s">
        <v>84</v>
      </c>
      <c r="F42" t="s">
        <v>1</v>
      </c>
      <c r="G42">
        <v>146000</v>
      </c>
      <c r="H42" s="4">
        <f>Table1346[[#This Row],[Price]]/Table1346[[#This Row],[Mileage]]</f>
        <v>8.9041095890410954E-2</v>
      </c>
      <c r="I42" s="3">
        <f ca="1">Table1346[[#This Row],[Price]]/Table1346[[#This Row],[Age]]</f>
        <v>1300</v>
      </c>
      <c r="J42">
        <f ca="1">IF(YEAR(TODAY())=Table1346[[#This Row],[year]],0.8,YEAR(TODAY())-Table1346[[#This Row],[year]])</f>
        <v>10</v>
      </c>
      <c r="K4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1.287      3,730</v>
      </c>
      <c r="L42" s="4">
        <f t="array" aca="1" ref="L42" ca="1">EXP(INDEX(LINEST(LN(Table1346[Price]),Table1346[Age]),1,2))*EXP(INDEX(LINEST(LN(Table1346[Price]),Table1346[Age]),1,1)*Table1346[[#This Row],[Age]])/Table1346[[#This Row],[Price]]</f>
        <v>1.0409211620534136</v>
      </c>
      <c r="M42" s="4">
        <f ca="1">Table1346[[#This Row],[Column1]]*VALUE(SUBSTITUTE(LEFT(Table1346[[#This Row],[normal price/real milage]],3),",",""))</f>
        <v>1.2491053944640962</v>
      </c>
      <c r="N42" s="4"/>
    </row>
    <row r="43" spans="1:14" x14ac:dyDescent="0.25">
      <c r="A43" s="1">
        <v>45081</v>
      </c>
      <c r="B43">
        <v>68</v>
      </c>
      <c r="C43" s="5">
        <v>12000</v>
      </c>
      <c r="D43">
        <v>2009</v>
      </c>
      <c r="E43" t="s">
        <v>84</v>
      </c>
      <c r="F43" t="s">
        <v>1</v>
      </c>
      <c r="G43">
        <v>152000</v>
      </c>
      <c r="H43" s="4">
        <f>Table1346[[#This Row],[Price]]/Table1346[[#This Row],[Mileage]]</f>
        <v>7.8947368421052627E-2</v>
      </c>
      <c r="I43" s="3">
        <f ca="1">Table1346[[#This Row],[Price]]/Table1346[[#This Row],[Age]]</f>
        <v>857.14285714285711</v>
      </c>
      <c r="J43">
        <f ca="1">IF(YEAR(TODAY())=Table1346[[#This Row],[year]],0.8,YEAR(TODAY())-Table1346[[#This Row],[year]])</f>
        <v>14</v>
      </c>
      <c r="K4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1.357      4,281</v>
      </c>
      <c r="L43" s="4">
        <f t="array" aca="1" ref="L43" ca="1">EXP(INDEX(LINEST(LN(Table1346[Price]),Table1346[Age]),1,2))*EXP(INDEX(LINEST(LN(Table1346[Price]),Table1346[Age]),1,1)*Table1346[[#This Row],[Age]])/Table1346[[#This Row],[Price]]</f>
        <v>0.83773461644877667</v>
      </c>
      <c r="M43" s="4">
        <f ca="1">Table1346[[#This Row],[Column1]]*VALUE(SUBSTITUTE(LEFT(Table1346[[#This Row],[normal price/real milage]],3),",",""))</f>
        <v>1.0890550013834097</v>
      </c>
      <c r="N43" s="4"/>
    </row>
    <row r="44" spans="1:14" x14ac:dyDescent="0.25">
      <c r="A44" s="1">
        <v>45080</v>
      </c>
      <c r="B44">
        <v>0</v>
      </c>
      <c r="C44" s="5">
        <v>13000</v>
      </c>
      <c r="D44">
        <v>2013</v>
      </c>
      <c r="E44" t="s">
        <v>84</v>
      </c>
      <c r="F44" t="s">
        <v>1</v>
      </c>
      <c r="G44">
        <v>160000</v>
      </c>
      <c r="H44" s="4">
        <f>Table1346[[#This Row],[Price]]/Table1346[[#This Row],[Mileage]]</f>
        <v>8.1250000000000003E-2</v>
      </c>
      <c r="I44" s="3">
        <f ca="1">Table1346[[#This Row],[Price]]/Table1346[[#This Row],[Age]]</f>
        <v>1300</v>
      </c>
      <c r="J44">
        <f ca="1">IF(YEAR(TODAY())=Table1346[[#This Row],[year]],0.8,YEAR(TODAY())-Table1346[[#This Row],[year]])</f>
        <v>10</v>
      </c>
      <c r="K4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1.206      2,683</v>
      </c>
      <c r="L44" s="4">
        <f t="array" aca="1" ref="L44" ca="1">EXP(INDEX(LINEST(LN(Table1346[Price]),Table1346[Age]),1,2))*EXP(INDEX(LINEST(LN(Table1346[Price]),Table1346[Age]),1,1)*Table1346[[#This Row],[Age]])/Table1346[[#This Row],[Price]]</f>
        <v>1.0409211620534136</v>
      </c>
      <c r="M44" s="4">
        <f ca="1">Table1346[[#This Row],[Column1]]*VALUE(SUBSTITUTE(LEFT(Table1346[[#This Row],[normal price/real milage]],3),",",""))</f>
        <v>1.2491053944640962</v>
      </c>
      <c r="N44" s="4"/>
    </row>
    <row r="45" spans="1:14" x14ac:dyDescent="0.25">
      <c r="A45" s="1">
        <v>45081</v>
      </c>
      <c r="B45">
        <v>77</v>
      </c>
      <c r="C45" s="5">
        <v>13000</v>
      </c>
      <c r="D45">
        <v>2012</v>
      </c>
      <c r="E45" t="s">
        <v>84</v>
      </c>
      <c r="F45" t="s">
        <v>1</v>
      </c>
      <c r="G45">
        <v>166000</v>
      </c>
      <c r="H45" s="4">
        <f>Table1346[[#This Row],[Price]]/Table1346[[#This Row],[Mileage]]</f>
        <v>7.8313253012048195E-2</v>
      </c>
      <c r="I45" s="3">
        <f ca="1">Table1346[[#This Row],[Price]]/Table1346[[#This Row],[Age]]</f>
        <v>1181.8181818181818</v>
      </c>
      <c r="J45">
        <f ca="1">IF(YEAR(TODAY())=Table1346[[#This Row],[year]],0.8,YEAR(TODAY())-Table1346[[#This Row],[year]])</f>
        <v>11</v>
      </c>
      <c r="K4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1.172      2,234</v>
      </c>
      <c r="L45" s="4">
        <f t="array" aca="1" ref="L45" ca="1">EXP(INDEX(LINEST(LN(Table1346[Price]),Table1346[Age]),1,2))*EXP(INDEX(LINEST(LN(Table1346[Price]),Table1346[Age]),1,1)*Table1346[[#This Row],[Age]])/Table1346[[#This Row],[Price]]</f>
        <v>0.96638341325455301</v>
      </c>
      <c r="M45" s="4">
        <f ca="1">Table1346[[#This Row],[Column1]]*VALUE(SUBSTITUTE(LEFT(Table1346[[#This Row],[normal price/real milage]],3),",",""))</f>
        <v>1.0630217545800085</v>
      </c>
      <c r="N45" s="4"/>
    </row>
    <row r="46" spans="1:14" x14ac:dyDescent="0.25">
      <c r="A46" s="1">
        <v>45081</v>
      </c>
      <c r="B46">
        <v>72</v>
      </c>
      <c r="C46" s="5">
        <v>13400</v>
      </c>
      <c r="D46">
        <v>2013</v>
      </c>
      <c r="E46" t="s">
        <v>84</v>
      </c>
      <c r="F46" t="s">
        <v>1</v>
      </c>
      <c r="G46">
        <v>154000</v>
      </c>
      <c r="H46" s="4">
        <f>Table1346[[#This Row],[Price]]/Table1346[[#This Row],[Mileage]]</f>
        <v>8.7012987012987014E-2</v>
      </c>
      <c r="I46" s="3">
        <f ca="1">Table1346[[#This Row],[Price]]/Table1346[[#This Row],[Age]]</f>
        <v>1340</v>
      </c>
      <c r="J46">
        <f ca="1">IF(YEAR(TODAY())=Table1346[[#This Row],[year]],0.8,YEAR(TODAY())-Table1346[[#This Row],[year]])</f>
        <v>10</v>
      </c>
      <c r="K4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1.204      2,731</v>
      </c>
      <c r="L46" s="4">
        <f t="array" aca="1" ref="L46" ca="1">EXP(INDEX(LINEST(LN(Table1346[Price]),Table1346[Age]),1,2))*EXP(INDEX(LINEST(LN(Table1346[Price]),Table1346[Age]),1,1)*Table1346[[#This Row],[Age]])/Table1346[[#This Row],[Price]]</f>
        <v>1.0098488885592818</v>
      </c>
      <c r="M46" s="4">
        <f ca="1">Table1346[[#This Row],[Column1]]*VALUE(SUBSTITUTE(LEFT(Table1346[[#This Row],[normal price/real milage]],3),",",""))</f>
        <v>1.2118186662711381</v>
      </c>
      <c r="N46" s="4"/>
    </row>
    <row r="47" spans="1:14" x14ac:dyDescent="0.25">
      <c r="A47" s="1">
        <v>45081</v>
      </c>
      <c r="B47">
        <v>54</v>
      </c>
      <c r="C47" s="5">
        <v>11999</v>
      </c>
      <c r="D47">
        <v>2016</v>
      </c>
      <c r="E47" t="s">
        <v>84</v>
      </c>
      <c r="F47" t="s">
        <v>80</v>
      </c>
      <c r="G47">
        <v>225000</v>
      </c>
      <c r="H47" s="4">
        <f>Table1346[[#This Row],[Price]]/Table1346[[#This Row],[Mileage]]</f>
        <v>5.3328888888888891E-2</v>
      </c>
      <c r="I47" s="3">
        <f ca="1">Table1346[[#This Row],[Price]]/Table1346[[#This Row],[Age]]</f>
        <v>1714.1428571428571</v>
      </c>
      <c r="J47">
        <f ca="1">IF(YEAR(TODAY())=Table1346[[#This Row],[year]],0.8,YEAR(TODAY())-Table1346[[#This Row],[year]])</f>
        <v>7</v>
      </c>
      <c r="K4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0.902      -1,178</v>
      </c>
      <c r="L47" s="4">
        <f t="array" aca="1" ref="L47" ca="1">EXP(INDEX(LINEST(LN(Table1346[Price]),Table1346[Age]),1,2))*EXP(INDEX(LINEST(LN(Table1346[Price]),Table1346[Age]),1,1)*Table1346[[#This Row],[Age]])/Table1346[[#This Row],[Price]]</f>
        <v>1.4093577527330949</v>
      </c>
      <c r="M47" s="4">
        <f ca="1">Table1346[[#This Row],[Column1]]*VALUE(SUBSTITUTE(LEFT(Table1346[[#This Row],[normal price/real milage]],3),",",""))</f>
        <v>1.2684219774597856</v>
      </c>
      <c r="N47" s="4"/>
    </row>
    <row r="48" spans="1:14" x14ac:dyDescent="0.25">
      <c r="A48" s="1">
        <v>45081</v>
      </c>
      <c r="B48">
        <v>19</v>
      </c>
      <c r="C48" s="5">
        <v>14800</v>
      </c>
      <c r="D48">
        <v>2014</v>
      </c>
      <c r="E48" t="s">
        <v>84</v>
      </c>
      <c r="F48" t="s">
        <v>1</v>
      </c>
      <c r="G48">
        <v>118000</v>
      </c>
      <c r="H48" s="4">
        <f>Table1346[[#This Row],[Price]]/Table1346[[#This Row],[Mileage]]</f>
        <v>0.12542372881355932</v>
      </c>
      <c r="I48" s="3">
        <f ca="1">Table1346[[#This Row],[Price]]/Table1346[[#This Row],[Age]]</f>
        <v>1644.4444444444443</v>
      </c>
      <c r="J48">
        <f ca="1">IF(YEAR(TODAY())=Table1346[[#This Row],[year]],0.8,YEAR(TODAY())-Table1346[[#This Row],[year]])</f>
        <v>9</v>
      </c>
      <c r="K4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1.272      4,024</v>
      </c>
      <c r="L48" s="4">
        <f t="array" aca="1" ref="L48" ca="1">EXP(INDEX(LINEST(LN(Table1346[Price]),Table1346[Age]),1,2))*EXP(INDEX(LINEST(LN(Table1346[Price]),Table1346[Age]),1,1)*Table1346[[#This Row],[Age]])/Table1346[[#This Row],[Price]]</f>
        <v>0.98484491176794675</v>
      </c>
      <c r="M48" s="4">
        <f ca="1">Table1346[[#This Row],[Column1]]*VALUE(SUBSTITUTE(LEFT(Table1346[[#This Row],[normal price/real milage]],3),",",""))</f>
        <v>1.1818138941215361</v>
      </c>
      <c r="N48" s="4"/>
    </row>
    <row r="49" spans="1:14" x14ac:dyDescent="0.25">
      <c r="A49" s="1">
        <v>45081</v>
      </c>
      <c r="B49">
        <v>92</v>
      </c>
      <c r="C49" s="5">
        <v>13000</v>
      </c>
      <c r="D49">
        <v>2012</v>
      </c>
      <c r="E49" t="s">
        <v>84</v>
      </c>
      <c r="F49" t="s">
        <v>9</v>
      </c>
      <c r="G49">
        <v>180000</v>
      </c>
      <c r="H49" s="4">
        <f>Table1346[[#This Row],[Price]]/Table1346[[#This Row],[Mileage]]</f>
        <v>7.2222222222222215E-2</v>
      </c>
      <c r="I49" s="3">
        <f ca="1">Table1346[[#This Row],[Price]]/Table1346[[#This Row],[Age]]</f>
        <v>1181.8181818181818</v>
      </c>
      <c r="J49">
        <f ca="1">IF(YEAR(TODAY())=Table1346[[#This Row],[year]],0.8,YEAR(TODAY())-Table1346[[#This Row],[year]])</f>
        <v>11</v>
      </c>
      <c r="K4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1.091      1,187</v>
      </c>
      <c r="L49" s="4">
        <f t="array" aca="1" ref="L49" ca="1">EXP(INDEX(LINEST(LN(Table1346[Price]),Table1346[Age]),1,2))*EXP(INDEX(LINEST(LN(Table1346[Price]),Table1346[Age]),1,1)*Table1346[[#This Row],[Age]])/Table1346[[#This Row],[Price]]</f>
        <v>0.96638341325455301</v>
      </c>
      <c r="M49" s="4">
        <f ca="1">Table1346[[#This Row],[Column1]]*VALUE(SUBSTITUTE(LEFT(Table1346[[#This Row],[normal price/real milage]],3),",",""))</f>
        <v>0.96638341325455301</v>
      </c>
      <c r="N49" s="4"/>
    </row>
    <row r="50" spans="1:14" x14ac:dyDescent="0.25">
      <c r="A50" s="1">
        <v>45081</v>
      </c>
      <c r="B50">
        <v>41</v>
      </c>
      <c r="C50" s="5">
        <v>14700</v>
      </c>
      <c r="D50">
        <v>2016</v>
      </c>
      <c r="E50" t="s">
        <v>84</v>
      </c>
      <c r="F50" t="s">
        <v>1</v>
      </c>
      <c r="G50">
        <v>142000</v>
      </c>
      <c r="H50" s="4">
        <f>Table1346[[#This Row],[Price]]/Table1346[[#This Row],[Mileage]]</f>
        <v>0.10352112676056338</v>
      </c>
      <c r="I50" s="3">
        <f ca="1">Table1346[[#This Row],[Price]]/Table1346[[#This Row],[Age]]</f>
        <v>2100</v>
      </c>
      <c r="J50">
        <f ca="1">IF(YEAR(TODAY())=Table1346[[#This Row],[year]],0.8,YEAR(TODAY())-Table1346[[#This Row],[year]])</f>
        <v>7</v>
      </c>
      <c r="K5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1.158      2,329</v>
      </c>
      <c r="L50" s="4">
        <f t="array" aca="1" ref="L50" ca="1">EXP(INDEX(LINEST(LN(Table1346[Price]),Table1346[Age]),1,2))*EXP(INDEX(LINEST(LN(Table1346[Price]),Table1346[Age]),1,1)*Table1346[[#This Row],[Age]])/Table1346[[#This Row],[Price]]</f>
        <v>1.1504002500030208</v>
      </c>
      <c r="M50" s="4">
        <f ca="1">Table1346[[#This Row],[Column1]]*VALUE(SUBSTITUTE(LEFT(Table1346[[#This Row],[normal price/real milage]],3),",",""))</f>
        <v>1.2654402750033229</v>
      </c>
      <c r="N50" s="4"/>
    </row>
    <row r="51" spans="1:14" x14ac:dyDescent="0.25">
      <c r="A51" s="1">
        <v>45081</v>
      </c>
      <c r="B51">
        <v>133</v>
      </c>
      <c r="C51" s="5">
        <v>11000</v>
      </c>
      <c r="D51">
        <v>2002</v>
      </c>
      <c r="E51" t="s">
        <v>84</v>
      </c>
      <c r="F51" t="s">
        <v>101</v>
      </c>
      <c r="G51">
        <v>200000</v>
      </c>
      <c r="H51" s="4">
        <f>Table1346[[#This Row],[Price]]/Table1346[[#This Row],[Mileage]]</f>
        <v>5.5E-2</v>
      </c>
      <c r="I51" s="3">
        <f ca="1">Table1346[[#This Row],[Price]]/Table1346[[#This Row],[Age]]</f>
        <v>523.80952380952385</v>
      </c>
      <c r="J51">
        <f ca="1">IF(YEAR(TODAY())=Table1346[[#This Row],[year]],0.8,YEAR(TODAY())-Table1346[[#This Row],[year]])</f>
        <v>21</v>
      </c>
      <c r="K5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1.154      1,691</v>
      </c>
      <c r="L51" s="4">
        <f t="array" aca="1" ref="L51" ca="1">EXP(INDEX(LINEST(LN(Table1346[Price]),Table1346[Age]),1,2))*EXP(INDEX(LINEST(LN(Table1346[Price]),Table1346[Age]),1,1)*Table1346[[#This Row],[Age]])/Table1346[[#This Row],[Price]]</f>
        <v>0.54327088108052113</v>
      </c>
      <c r="M51" s="4">
        <f ca="1">Table1346[[#This Row],[Column1]]*VALUE(SUBSTITUTE(LEFT(Table1346[[#This Row],[normal price/real milage]],3),",",""))</f>
        <v>0.59759796918857333</v>
      </c>
      <c r="N51" s="4"/>
    </row>
    <row r="52" spans="1:14" x14ac:dyDescent="0.25">
      <c r="A52" s="1">
        <v>45081</v>
      </c>
      <c r="B52">
        <v>59</v>
      </c>
      <c r="C52" s="5">
        <v>14500</v>
      </c>
      <c r="D52">
        <v>2014</v>
      </c>
      <c r="E52" t="s">
        <v>84</v>
      </c>
      <c r="F52" t="s">
        <v>1</v>
      </c>
      <c r="G52">
        <v>146000</v>
      </c>
      <c r="H52" s="4">
        <f>Table1346[[#This Row],[Price]]/Table1346[[#This Row],[Mileage]]</f>
        <v>9.9315068493150679E-2</v>
      </c>
      <c r="I52" s="3">
        <f ca="1">Table1346[[#This Row],[Price]]/Table1346[[#This Row],[Age]]</f>
        <v>1611.1111111111111</v>
      </c>
      <c r="J52">
        <f ca="1">IF(YEAR(TODAY())=Table1346[[#This Row],[year]],0.8,YEAR(TODAY())-Table1346[[#This Row],[year]])</f>
        <v>9</v>
      </c>
      <c r="K5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1.154      2,230</v>
      </c>
      <c r="L52" s="4">
        <f t="array" aca="1" ref="L52" ca="1">EXP(INDEX(LINEST(LN(Table1346[Price]),Table1346[Age]),1,2))*EXP(INDEX(LINEST(LN(Table1346[Price]),Table1346[Age]),1,1)*Table1346[[#This Row],[Age]])/Table1346[[#This Row],[Price]]</f>
        <v>1.0052210133907318</v>
      </c>
      <c r="M52" s="4">
        <f ca="1">Table1346[[#This Row],[Column1]]*VALUE(SUBSTITUTE(LEFT(Table1346[[#This Row],[normal price/real milage]],3),",",""))</f>
        <v>1.1057431147298051</v>
      </c>
      <c r="N52" s="4"/>
    </row>
    <row r="53" spans="1:14" x14ac:dyDescent="0.25">
      <c r="A53" s="1">
        <v>45081</v>
      </c>
      <c r="B53">
        <v>71</v>
      </c>
      <c r="C53" s="5">
        <v>10000</v>
      </c>
      <c r="D53">
        <v>2013</v>
      </c>
      <c r="E53" t="s">
        <v>84</v>
      </c>
      <c r="F53" t="s">
        <v>1</v>
      </c>
      <c r="G53">
        <v>310000</v>
      </c>
      <c r="H53" s="4">
        <f>Table1346[[#This Row],[Price]]/Table1346[[#This Row],[Mileage]]</f>
        <v>3.2258064516129031E-2</v>
      </c>
      <c r="I53" s="3">
        <f ca="1">Table1346[[#This Row],[Price]]/Table1346[[#This Row],[Age]]</f>
        <v>1000</v>
      </c>
      <c r="J53">
        <f ca="1">IF(YEAR(TODAY())=Table1346[[#This Row],[year]],0.8,YEAR(TODAY())-Table1346[[#This Row],[year]])</f>
        <v>10</v>
      </c>
      <c r="K5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0.446      -5,537</v>
      </c>
      <c r="L53" s="4">
        <f t="array" aca="1" ref="L53" ca="1">EXP(INDEX(LINEST(LN(Table1346[Price]),Table1346[Age]),1,2))*EXP(INDEX(LINEST(LN(Table1346[Price]),Table1346[Age]),1,1)*Table1346[[#This Row],[Age]])/Table1346[[#This Row],[Price]]</f>
        <v>1.3531975106694378</v>
      </c>
      <c r="M53" s="4">
        <f ca="1">Table1346[[#This Row],[Column1]]*VALUE(SUBSTITUTE(LEFT(Table1346[[#This Row],[normal price/real milage]],3),",",""))</f>
        <v>0.5412790042677752</v>
      </c>
      <c r="N53" s="4"/>
    </row>
    <row r="54" spans="1:14" x14ac:dyDescent="0.25">
      <c r="A54" s="1">
        <v>45081</v>
      </c>
      <c r="B54">
        <v>141</v>
      </c>
      <c r="C54" s="5">
        <v>14488</v>
      </c>
      <c r="D54">
        <v>2012</v>
      </c>
      <c r="E54" t="s">
        <v>84</v>
      </c>
      <c r="F54" t="s">
        <v>1</v>
      </c>
      <c r="G54">
        <v>160000</v>
      </c>
      <c r="H54" s="4">
        <f>Table1346[[#This Row],[Price]]/Table1346[[#This Row],[Mileage]]</f>
        <v>9.0550000000000005E-2</v>
      </c>
      <c r="I54" s="3">
        <f ca="1">Table1346[[#This Row],[Price]]/Table1346[[#This Row],[Age]]</f>
        <v>1317.090909090909</v>
      </c>
      <c r="J54">
        <f ca="1">IF(YEAR(TODAY())=Table1346[[#This Row],[year]],0.8,YEAR(TODAY())-Table1346[[#This Row],[year]])</f>
        <v>11</v>
      </c>
      <c r="K5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1.082      1,195</v>
      </c>
      <c r="L54" s="4">
        <f t="array" aca="1" ref="L54" ca="1">EXP(INDEX(LINEST(LN(Table1346[Price]),Table1346[Age]),1,2))*EXP(INDEX(LINEST(LN(Table1346[Price]),Table1346[Age]),1,1)*Table1346[[#This Row],[Age]])/Table1346[[#This Row],[Price]]</f>
        <v>0.86713034044099868</v>
      </c>
      <c r="M54" s="4">
        <f ca="1">Table1346[[#This Row],[Column1]]*VALUE(SUBSTITUTE(LEFT(Table1346[[#This Row],[normal price/real milage]],3),",",""))</f>
        <v>0.86713034044099868</v>
      </c>
      <c r="N54" s="4"/>
    </row>
    <row r="55" spans="1:14" x14ac:dyDescent="0.25">
      <c r="A55" s="1">
        <v>45081</v>
      </c>
      <c r="B55">
        <v>36</v>
      </c>
      <c r="C55" s="5">
        <v>17995</v>
      </c>
      <c r="D55">
        <v>2018</v>
      </c>
      <c r="E55" t="s">
        <v>84</v>
      </c>
      <c r="F55" t="s">
        <v>1</v>
      </c>
      <c r="G55">
        <v>104000</v>
      </c>
      <c r="H55" s="4">
        <f>Table1346[[#This Row],[Price]]/Table1346[[#This Row],[Mileage]]</f>
        <v>0.17302884615384614</v>
      </c>
      <c r="I55" s="3">
        <f ca="1">Table1346[[#This Row],[Price]]/Table1346[[#This Row],[Age]]</f>
        <v>3599</v>
      </c>
      <c r="J55">
        <f ca="1">IF(YEAR(TODAY())=Table1346[[#This Row],[year]],0.8,YEAR(TODAY())-Table1346[[#This Row],[year]])</f>
        <v>5</v>
      </c>
      <c r="K5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1.104      1,876</v>
      </c>
      <c r="L55" s="4">
        <f t="array" aca="1" ref="L55" ca="1">EXP(INDEX(LINEST(LN(Table1346[Price]),Table1346[Age]),1,2))*EXP(INDEX(LINEST(LN(Table1346[Price]),Table1346[Age]),1,1)*Table1346[[#This Row],[Age]])/Table1346[[#This Row],[Price]]</f>
        <v>1.0903130055384089</v>
      </c>
      <c r="M55" s="4">
        <f ca="1">Table1346[[#This Row],[Column1]]*VALUE(SUBSTITUTE(LEFT(Table1346[[#This Row],[normal price/real milage]],3),",",""))</f>
        <v>1.19934430609225</v>
      </c>
      <c r="N55" s="4"/>
    </row>
    <row r="56" spans="1:14" x14ac:dyDescent="0.25">
      <c r="A56" s="1">
        <v>45081</v>
      </c>
      <c r="B56">
        <v>58</v>
      </c>
      <c r="C56" s="5">
        <v>13178</v>
      </c>
      <c r="D56">
        <v>2003</v>
      </c>
      <c r="E56" t="s">
        <v>84</v>
      </c>
      <c r="F56" t="s">
        <v>1</v>
      </c>
      <c r="G56">
        <v>148000</v>
      </c>
      <c r="H56" s="4">
        <f>Table1346[[#This Row],[Price]]/Table1346[[#This Row],[Mileage]]</f>
        <v>8.9040540540540544E-2</v>
      </c>
      <c r="I56" s="3">
        <f ca="1">Table1346[[#This Row],[Price]]/Table1346[[#This Row],[Age]]</f>
        <v>658.9</v>
      </c>
      <c r="J56">
        <f ca="1">IF(YEAR(TODAY())=Table1346[[#This Row],[year]],0.8,YEAR(TODAY())-Table1346[[#This Row],[year]])</f>
        <v>20</v>
      </c>
      <c r="K5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1.258      3,402</v>
      </c>
      <c r="L56" s="4">
        <f t="array" aca="1" ref="L56" ca="1">EXP(INDEX(LINEST(LN(Table1346[Price]),Table1346[Age]),1,2))*EXP(INDEX(LINEST(LN(Table1346[Price]),Table1346[Age]),1,1)*Table1346[[#This Row],[Age]])/Table1346[[#This Row],[Price]]</f>
        <v>0.488458847468005</v>
      </c>
      <c r="M56" s="4">
        <f ca="1">Table1346[[#This Row],[Column1]]*VALUE(SUBSTITUTE(LEFT(Table1346[[#This Row],[normal price/real milage]],3),",",""))</f>
        <v>0.58615061696160597</v>
      </c>
      <c r="N56" s="4"/>
    </row>
    <row r="57" spans="1:14" x14ac:dyDescent="0.25">
      <c r="A57" s="1">
        <v>45081</v>
      </c>
      <c r="B57">
        <v>87</v>
      </c>
      <c r="C57" s="5">
        <v>16995</v>
      </c>
      <c r="D57">
        <v>2014</v>
      </c>
      <c r="E57" t="s">
        <v>84</v>
      </c>
      <c r="F57" t="s">
        <v>3</v>
      </c>
      <c r="G57">
        <v>112000</v>
      </c>
      <c r="H57" s="4">
        <f>Table1346[[#This Row],[Price]]/Table1346[[#This Row],[Mileage]]</f>
        <v>0.15174107142857143</v>
      </c>
      <c r="I57" s="3">
        <f ca="1">Table1346[[#This Row],[Price]]/Table1346[[#This Row],[Age]]</f>
        <v>1888.3333333333333</v>
      </c>
      <c r="J57">
        <f ca="1">IF(YEAR(TODAY())=Table1346[[#This Row],[year]],0.8,YEAR(TODAY())-Table1346[[#This Row],[year]])</f>
        <v>9</v>
      </c>
      <c r="K5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1.134      2,278</v>
      </c>
      <c r="L57" s="4">
        <f t="array" aca="1" ref="L57" ca="1">EXP(INDEX(LINEST(LN(Table1346[Price]),Table1346[Age]),1,2))*EXP(INDEX(LINEST(LN(Table1346[Price]),Table1346[Age]),1,1)*Table1346[[#This Row],[Age]])/Table1346[[#This Row],[Price]]</f>
        <v>0.85764664278703218</v>
      </c>
      <c r="M57" s="4">
        <f ca="1">Table1346[[#This Row],[Column1]]*VALUE(SUBSTITUTE(LEFT(Table1346[[#This Row],[normal price/real milage]],3),",",""))</f>
        <v>0.9434113070657355</v>
      </c>
      <c r="N57" s="4"/>
    </row>
    <row r="58" spans="1:14" x14ac:dyDescent="0.25">
      <c r="A58" s="1">
        <v>45081</v>
      </c>
      <c r="B58">
        <v>126</v>
      </c>
      <c r="C58" s="5">
        <v>14500</v>
      </c>
      <c r="D58">
        <v>2016</v>
      </c>
      <c r="E58" t="s">
        <v>84</v>
      </c>
      <c r="F58" t="s">
        <v>1</v>
      </c>
      <c r="G58">
        <v>220000</v>
      </c>
      <c r="H58" s="4">
        <f>Table1346[[#This Row],[Price]]/Table1346[[#This Row],[Mileage]]</f>
        <v>6.5909090909090903E-2</v>
      </c>
      <c r="I58" s="3">
        <f ca="1">Table1346[[#This Row],[Price]]/Table1346[[#This Row],[Age]]</f>
        <v>2071.4285714285716</v>
      </c>
      <c r="J58">
        <f ca="1">IF(YEAR(TODAY())=Table1346[[#This Row],[year]],0.8,YEAR(TODAY())-Table1346[[#This Row],[year]])</f>
        <v>7</v>
      </c>
      <c r="K5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0.772      -3,305</v>
      </c>
      <c r="L58" s="4">
        <f t="array" aca="1" ref="L58" ca="1">EXP(INDEX(LINEST(LN(Table1346[Price]),Table1346[Age]),1,2))*EXP(INDEX(LINEST(LN(Table1346[Price]),Table1346[Age]),1,1)*Table1346[[#This Row],[Age]])/Table1346[[#This Row],[Price]]</f>
        <v>1.1662678396582349</v>
      </c>
      <c r="M58" s="4">
        <f ca="1">Table1346[[#This Row],[Column1]]*VALUE(SUBSTITUTE(LEFT(Table1346[[#This Row],[normal price/real milage]],3),",",""))</f>
        <v>0.81638748776076442</v>
      </c>
      <c r="N58" s="4"/>
    </row>
    <row r="59" spans="1:14" x14ac:dyDescent="0.25">
      <c r="A59" s="1">
        <v>45081</v>
      </c>
      <c r="B59">
        <v>106</v>
      </c>
      <c r="C59" s="5">
        <v>15599</v>
      </c>
      <c r="D59">
        <v>2014</v>
      </c>
      <c r="E59" t="s">
        <v>97</v>
      </c>
      <c r="F59" t="s">
        <v>9</v>
      </c>
      <c r="G59">
        <v>153000</v>
      </c>
      <c r="H59" s="4">
        <f>Table1346[[#This Row],[Price]]/Table1346[[#This Row],[Mileage]]</f>
        <v>0.10195424836601308</v>
      </c>
      <c r="I59" s="3">
        <f ca="1">Table1346[[#This Row],[Price]]/Table1346[[#This Row],[Age]]</f>
        <v>1733.2222222222222</v>
      </c>
      <c r="J59">
        <f ca="1">IF(YEAR(TODAY())=Table1346[[#This Row],[year]],0.8,YEAR(TODAY())-Table1346[[#This Row],[year]])</f>
        <v>9</v>
      </c>
      <c r="K5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1.039      607</v>
      </c>
      <c r="L59" s="4">
        <f t="array" aca="1" ref="L59" ca="1">EXP(INDEX(LINEST(LN(Table1346[Price]),Table1346[Age]),1,2))*EXP(INDEX(LINEST(LN(Table1346[Price]),Table1346[Age]),1,1)*Table1346[[#This Row],[Age]])/Table1346[[#This Row],[Price]]</f>
        <v>0.93439994192997067</v>
      </c>
      <c r="M59" s="4">
        <f ca="1">Table1346[[#This Row],[Column1]]*VALUE(SUBSTITUTE(LEFT(Table1346[[#This Row],[normal price/real milage]],3),",",""))</f>
        <v>0.93439994192997067</v>
      </c>
      <c r="N59" s="4"/>
    </row>
    <row r="60" spans="1:14" x14ac:dyDescent="0.25">
      <c r="A60" s="1">
        <v>45081</v>
      </c>
      <c r="B60">
        <v>34</v>
      </c>
      <c r="C60" s="5">
        <v>16500</v>
      </c>
      <c r="D60">
        <v>2015</v>
      </c>
      <c r="E60" t="s">
        <v>84</v>
      </c>
      <c r="F60" t="s">
        <v>1</v>
      </c>
      <c r="G60">
        <v>143000</v>
      </c>
      <c r="H60" s="4">
        <f>Table1346[[#This Row],[Price]]/Table1346[[#This Row],[Mileage]]</f>
        <v>0.11538461538461539</v>
      </c>
      <c r="I60" s="3">
        <f ca="1">Table1346[[#This Row],[Price]]/Table1346[[#This Row],[Age]]</f>
        <v>2062.5</v>
      </c>
      <c r="J60">
        <f ca="1">IF(YEAR(TODAY())=Table1346[[#This Row],[year]],0.8,YEAR(TODAY())-Table1346[[#This Row],[year]])</f>
        <v>8</v>
      </c>
      <c r="K6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1.028      454</v>
      </c>
      <c r="L60" s="4">
        <f t="array" aca="1" ref="L60" ca="1">EXP(INDEX(LINEST(LN(Table1346[Price]),Table1346[Age]),1,2))*EXP(INDEX(LINEST(LN(Table1346[Price]),Table1346[Age]),1,1)*Table1346[[#This Row],[Age]])/Table1346[[#This Row],[Price]]</f>
        <v>0.95151138112519418</v>
      </c>
      <c r="M60" s="4">
        <f ca="1">Table1346[[#This Row],[Column1]]*VALUE(SUBSTITUTE(LEFT(Table1346[[#This Row],[normal price/real milage]],3),",",""))</f>
        <v>0.95151138112519418</v>
      </c>
      <c r="N60" s="4"/>
    </row>
    <row r="61" spans="1:14" x14ac:dyDescent="0.25">
      <c r="A61" s="1">
        <v>45081</v>
      </c>
      <c r="B61">
        <v>102</v>
      </c>
      <c r="C61" s="5">
        <v>13112</v>
      </c>
      <c r="D61">
        <v>2003</v>
      </c>
      <c r="E61" t="s">
        <v>84</v>
      </c>
      <c r="F61" t="s">
        <v>1</v>
      </c>
      <c r="G61">
        <v>200000</v>
      </c>
      <c r="H61" s="4">
        <f>Table1346[[#This Row],[Price]]/Table1346[[#This Row],[Mileage]]</f>
        <v>6.5559999999999993E-2</v>
      </c>
      <c r="I61" s="3">
        <f ca="1">Table1346[[#This Row],[Price]]/Table1346[[#This Row],[Age]]</f>
        <v>655.6</v>
      </c>
      <c r="J61">
        <f ca="1">IF(YEAR(TODAY())=Table1346[[#This Row],[year]],0.8,YEAR(TODAY())-Table1346[[#This Row],[year]])</f>
        <v>20</v>
      </c>
      <c r="K6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0.968      -421</v>
      </c>
      <c r="L61" s="4">
        <f t="array" aca="1" ref="L61" ca="1">EXP(INDEX(LINEST(LN(Table1346[Price]),Table1346[Age]),1,2))*EXP(INDEX(LINEST(LN(Table1346[Price]),Table1346[Age]),1,1)*Table1346[[#This Row],[Age]])/Table1346[[#This Row],[Price]]</f>
        <v>0.49091753294183726</v>
      </c>
      <c r="M61" s="4">
        <f ca="1">Table1346[[#This Row],[Column1]]*VALUE(SUBSTITUTE(LEFT(Table1346[[#This Row],[normal price/real milage]],3),",",""))</f>
        <v>0.44182577964765357</v>
      </c>
      <c r="N61" s="4"/>
    </row>
    <row r="62" spans="1:14" x14ac:dyDescent="0.25">
      <c r="A62" s="1">
        <v>45081</v>
      </c>
      <c r="B62">
        <v>4</v>
      </c>
      <c r="C62" s="5">
        <v>17500</v>
      </c>
      <c r="D62">
        <v>2012</v>
      </c>
      <c r="E62" t="s">
        <v>84</v>
      </c>
      <c r="F62" t="s">
        <v>1</v>
      </c>
      <c r="G62">
        <v>106000</v>
      </c>
      <c r="H62" s="4">
        <f>Table1346[[#This Row],[Price]]/Table1346[[#This Row],[Mileage]]</f>
        <v>0.1650943396226415</v>
      </c>
      <c r="I62" s="3">
        <f ca="1">Table1346[[#This Row],[Price]]/Table1346[[#This Row],[Age]]</f>
        <v>1590.909090909091</v>
      </c>
      <c r="J62">
        <f ca="1">IF(YEAR(TODAY())=Table1346[[#This Row],[year]],0.8,YEAR(TODAY())-Table1346[[#This Row],[year]])</f>
        <v>11</v>
      </c>
      <c r="K6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1.127      2,222</v>
      </c>
      <c r="L62" s="4">
        <f t="array" aca="1" ref="L62" ca="1">EXP(INDEX(LINEST(LN(Table1346[Price]),Table1346[Age]),1,2))*EXP(INDEX(LINEST(LN(Table1346[Price]),Table1346[Age]),1,1)*Table1346[[#This Row],[Age]])/Table1346[[#This Row],[Price]]</f>
        <v>0.71788482127481079</v>
      </c>
      <c r="M62" s="4">
        <f ca="1">Table1346[[#This Row],[Column1]]*VALUE(SUBSTITUTE(LEFT(Table1346[[#This Row],[normal price/real milage]],3),",",""))</f>
        <v>0.78967330340229192</v>
      </c>
      <c r="N62" s="4"/>
    </row>
    <row r="63" spans="1:14" x14ac:dyDescent="0.25">
      <c r="A63" s="1">
        <v>45081</v>
      </c>
      <c r="B63">
        <v>78</v>
      </c>
      <c r="C63" s="5">
        <v>18295</v>
      </c>
      <c r="D63">
        <v>2013</v>
      </c>
      <c r="E63" t="s">
        <v>84</v>
      </c>
      <c r="F63" t="s">
        <v>15</v>
      </c>
      <c r="G63">
        <v>88000</v>
      </c>
      <c r="H63" s="4">
        <f>Table1346[[#This Row],[Price]]/Table1346[[#This Row],[Mileage]]</f>
        <v>0.20789772727272726</v>
      </c>
      <c r="I63" s="3">
        <f ca="1">Table1346[[#This Row],[Price]]/Table1346[[#This Row],[Age]]</f>
        <v>1829.5</v>
      </c>
      <c r="J63">
        <f ca="1">IF(YEAR(TODAY())=Table1346[[#This Row],[year]],0.8,YEAR(TODAY())-Table1346[[#This Row],[year]])</f>
        <v>10</v>
      </c>
      <c r="K6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1.152      2,773</v>
      </c>
      <c r="L63" s="4">
        <f t="array" aca="1" ref="L63" ca="1">EXP(INDEX(LINEST(LN(Table1346[Price]),Table1346[Age]),1,2))*EXP(INDEX(LINEST(LN(Table1346[Price]),Table1346[Age]),1,1)*Table1346[[#This Row],[Age]])/Table1346[[#This Row],[Price]]</f>
        <v>0.73965428295678481</v>
      </c>
      <c r="M63" s="4">
        <f ca="1">Table1346[[#This Row],[Column1]]*VALUE(SUBSTITUTE(LEFT(Table1346[[#This Row],[normal price/real milage]],3),",",""))</f>
        <v>0.81361971125246335</v>
      </c>
      <c r="N63" s="4"/>
    </row>
    <row r="64" spans="1:14" x14ac:dyDescent="0.25">
      <c r="A64" s="1">
        <v>45081</v>
      </c>
      <c r="B64">
        <v>81</v>
      </c>
      <c r="C64" s="5">
        <v>18295</v>
      </c>
      <c r="D64">
        <v>2013</v>
      </c>
      <c r="E64" t="s">
        <v>84</v>
      </c>
      <c r="F64" t="s">
        <v>15</v>
      </c>
      <c r="G64">
        <v>88000</v>
      </c>
      <c r="H64" s="4">
        <f>Table1346[[#This Row],[Price]]/Table1346[[#This Row],[Mileage]]</f>
        <v>0.20789772727272726</v>
      </c>
      <c r="I64" s="3">
        <f ca="1">Table1346[[#This Row],[Price]]/Table1346[[#This Row],[Age]]</f>
        <v>1829.5</v>
      </c>
      <c r="J64">
        <f ca="1">IF(YEAR(TODAY())=Table1346[[#This Row],[year]],0.8,YEAR(TODAY())-Table1346[[#This Row],[year]])</f>
        <v>10</v>
      </c>
      <c r="K6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1.152      2,773</v>
      </c>
      <c r="L64" s="4">
        <f t="array" aca="1" ref="L64" ca="1">EXP(INDEX(LINEST(LN(Table1346[Price]),Table1346[Age]),1,2))*EXP(INDEX(LINEST(LN(Table1346[Price]),Table1346[Age]),1,1)*Table1346[[#This Row],[Age]])/Table1346[[#This Row],[Price]]</f>
        <v>0.73965428295678481</v>
      </c>
      <c r="M64" s="4">
        <f ca="1">Table1346[[#This Row],[Column1]]*VALUE(SUBSTITUTE(LEFT(Table1346[[#This Row],[normal price/real milage]],3),",",""))</f>
        <v>0.81361971125246335</v>
      </c>
      <c r="N64" s="4"/>
    </row>
    <row r="65" spans="1:14" x14ac:dyDescent="0.25">
      <c r="A65" s="1">
        <v>45081</v>
      </c>
      <c r="B65">
        <v>53</v>
      </c>
      <c r="C65" s="5">
        <v>21450</v>
      </c>
      <c r="D65">
        <v>2020</v>
      </c>
      <c r="E65" t="s">
        <v>90</v>
      </c>
      <c r="F65" t="s">
        <v>1</v>
      </c>
      <c r="G65">
        <v>69000</v>
      </c>
      <c r="H65" s="4">
        <f>Table1346[[#This Row],[Price]]/Table1346[[#This Row],[Mileage]]</f>
        <v>0.31086956521739129</v>
      </c>
      <c r="I65" s="3">
        <f ca="1">Table1346[[#This Row],[Price]]/Table1346[[#This Row],[Age]]</f>
        <v>7150</v>
      </c>
      <c r="J65">
        <f ca="1">IF(YEAR(TODAY())=Table1346[[#This Row],[year]],0.8,YEAR(TODAY())-Table1346[[#This Row],[year]])</f>
        <v>3</v>
      </c>
      <c r="K6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1.048      1,039</v>
      </c>
      <c r="L65" s="4">
        <f t="array" aca="1" ref="L65" ca="1">EXP(INDEX(LINEST(LN(Table1346[Price]),Table1346[Age]),1,2))*EXP(INDEX(LINEST(LN(Table1346[Price]),Table1346[Age]),1,1)*Table1346[[#This Row],[Age]])/Table1346[[#This Row],[Price]]</f>
        <v>1.0612372566736752</v>
      </c>
      <c r="M65" s="4">
        <f ca="1">Table1346[[#This Row],[Column1]]*VALUE(SUBSTITUTE(LEFT(Table1346[[#This Row],[normal price/real milage]],3),",",""))</f>
        <v>1.0612372566736752</v>
      </c>
      <c r="N65" s="4"/>
    </row>
    <row r="66" spans="1:14" x14ac:dyDescent="0.25">
      <c r="A66" s="1">
        <v>45081</v>
      </c>
      <c r="B66">
        <v>37</v>
      </c>
      <c r="C66" s="5">
        <v>18500</v>
      </c>
      <c r="D66">
        <v>2015</v>
      </c>
      <c r="E66" t="s">
        <v>84</v>
      </c>
      <c r="F66" t="s">
        <v>1</v>
      </c>
      <c r="G66">
        <v>96000</v>
      </c>
      <c r="H66" s="4">
        <f>Table1346[[#This Row],[Price]]/Table1346[[#This Row],[Mileage]]</f>
        <v>0.19270833333333334</v>
      </c>
      <c r="I66" s="3">
        <f ca="1">Table1346[[#This Row],[Price]]/Table1346[[#This Row],[Age]]</f>
        <v>2312.5</v>
      </c>
      <c r="J66">
        <f ca="1">IF(YEAR(TODAY())=Table1346[[#This Row],[year]],0.8,YEAR(TODAY())-Table1346[[#This Row],[year]])</f>
        <v>8</v>
      </c>
      <c r="K6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1.106      1,970</v>
      </c>
      <c r="L66" s="4">
        <f t="array" aca="1" ref="L66" ca="1">EXP(INDEX(LINEST(LN(Table1346[Price]),Table1346[Age]),1,2))*EXP(INDEX(LINEST(LN(Table1346[Price]),Table1346[Age]),1,1)*Table1346[[#This Row],[Age]])/Table1346[[#This Row],[Price]]</f>
        <v>0.84864528586841637</v>
      </c>
      <c r="M66" s="4">
        <f ca="1">Table1346[[#This Row],[Column1]]*VALUE(SUBSTITUTE(LEFT(Table1346[[#This Row],[normal price/real milage]],3),",",""))</f>
        <v>0.93350981445525805</v>
      </c>
      <c r="N66" s="4"/>
    </row>
    <row r="67" spans="1:14" x14ac:dyDescent="0.25">
      <c r="A67" s="1">
        <v>45081</v>
      </c>
      <c r="B67">
        <v>67</v>
      </c>
      <c r="C67" s="5">
        <v>18000</v>
      </c>
      <c r="D67">
        <v>2014</v>
      </c>
      <c r="E67" t="s">
        <v>84</v>
      </c>
      <c r="F67" t="s">
        <v>9</v>
      </c>
      <c r="G67">
        <v>129000</v>
      </c>
      <c r="H67" s="4">
        <f>Table1346[[#This Row],[Price]]/Table1346[[#This Row],[Mileage]]</f>
        <v>0.13953488372093023</v>
      </c>
      <c r="I67" s="3">
        <f ca="1">Table1346[[#This Row],[Price]]/Table1346[[#This Row],[Age]]</f>
        <v>2000</v>
      </c>
      <c r="J67">
        <f ca="1">IF(YEAR(TODAY())=Table1346[[#This Row],[year]],0.8,YEAR(TODAY())-Table1346[[#This Row],[year]])</f>
        <v>9</v>
      </c>
      <c r="K6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1.000      1</v>
      </c>
      <c r="L67" s="4">
        <f t="array" aca="1" ref="L67" ca="1">EXP(INDEX(LINEST(LN(Table1346[Price]),Table1346[Age]),1,2))*EXP(INDEX(LINEST(LN(Table1346[Price]),Table1346[Age]),1,1)*Table1346[[#This Row],[Age]])/Table1346[[#This Row],[Price]]</f>
        <v>0.8097613718980895</v>
      </c>
      <c r="M67" s="4">
        <f ca="1">Table1346[[#This Row],[Column1]]*VALUE(SUBSTITUTE(LEFT(Table1346[[#This Row],[normal price/real milage]],3),",",""))</f>
        <v>0.8097613718980895</v>
      </c>
      <c r="N67" s="4"/>
    </row>
    <row r="68" spans="1:14" x14ac:dyDescent="0.25">
      <c r="A68" s="1">
        <v>45081</v>
      </c>
      <c r="B68">
        <v>146</v>
      </c>
      <c r="C68" s="5">
        <v>8800</v>
      </c>
      <c r="D68">
        <v>2003</v>
      </c>
      <c r="E68" t="s">
        <v>84</v>
      </c>
      <c r="F68" t="s">
        <v>1</v>
      </c>
      <c r="G68">
        <v>340000</v>
      </c>
      <c r="H68" s="4">
        <f>Table1346[[#This Row],[Price]]/Table1346[[#This Row],[Mileage]]</f>
        <v>2.5882352941176471E-2</v>
      </c>
      <c r="I68" s="3">
        <f ca="1">Table1346[[#This Row],[Price]]/Table1346[[#This Row],[Age]]</f>
        <v>440</v>
      </c>
      <c r="J68">
        <f ca="1">IF(YEAR(TODAY())=Table1346[[#This Row],[year]],0.8,YEAR(TODAY())-Table1346[[#This Row],[year]])</f>
        <v>20</v>
      </c>
      <c r="K6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0.252      -6,581</v>
      </c>
      <c r="L68" s="4">
        <f t="array" aca="1" ref="L68" ca="1">EXP(INDEX(LINEST(LN(Table1346[Price]),Table1346[Age]),1,2))*EXP(INDEX(LINEST(LN(Table1346[Price]),Table1346[Age]),1,1)*Table1346[[#This Row],[Age]])/Table1346[[#This Row],[Price]]</f>
        <v>0.73146712408333747</v>
      </c>
      <c r="M68" s="4">
        <f ca="1">Table1346[[#This Row],[Column1]]*VALUE(SUBSTITUTE(LEFT(Table1346[[#This Row],[normal price/real milage]],3),",",""))</f>
        <v>0.14629342481666749</v>
      </c>
      <c r="N68" s="4"/>
    </row>
    <row r="69" spans="1:14" x14ac:dyDescent="0.25">
      <c r="A69" s="1">
        <v>45081</v>
      </c>
      <c r="B69">
        <v>16</v>
      </c>
      <c r="C69" s="5">
        <v>10560</v>
      </c>
      <c r="D69">
        <v>2003</v>
      </c>
      <c r="E69" t="s">
        <v>84</v>
      </c>
      <c r="F69" t="s">
        <v>80</v>
      </c>
      <c r="G69">
        <v>295000</v>
      </c>
      <c r="H69" s="4">
        <f>Table1346[[#This Row],[Price]]/Table1346[[#This Row],[Mileage]]</f>
        <v>3.5796610169491525E-2</v>
      </c>
      <c r="I69" s="3">
        <f ca="1">Table1346[[#This Row],[Price]]/Table1346[[#This Row],[Age]]</f>
        <v>528</v>
      </c>
      <c r="J69">
        <f ca="1">IF(YEAR(TODAY())=Table1346[[#This Row],[year]],0.8,YEAR(TODAY())-Table1346[[#This Row],[year]])</f>
        <v>20</v>
      </c>
      <c r="K6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0.529      -4,975</v>
      </c>
      <c r="L69" s="4">
        <f t="array" aca="1" ref="L69" ca="1">EXP(INDEX(LINEST(LN(Table1346[Price]),Table1346[Age]),1,2))*EXP(INDEX(LINEST(LN(Table1346[Price]),Table1346[Age]),1,1)*Table1346[[#This Row],[Age]])/Table1346[[#This Row],[Price]]</f>
        <v>0.60955593673611452</v>
      </c>
      <c r="M69" s="4">
        <f ca="1">Table1346[[#This Row],[Column1]]*VALUE(SUBSTITUTE(LEFT(Table1346[[#This Row],[normal price/real milage]],3),",",""))</f>
        <v>0.30477796836805726</v>
      </c>
      <c r="N69" s="4"/>
    </row>
    <row r="70" spans="1:14" x14ac:dyDescent="0.25">
      <c r="A70" s="1">
        <v>45081</v>
      </c>
      <c r="B70">
        <v>129</v>
      </c>
      <c r="C70" s="5">
        <v>19990</v>
      </c>
      <c r="D70">
        <v>2015</v>
      </c>
      <c r="E70" t="s">
        <v>84</v>
      </c>
      <c r="F70" t="s">
        <v>9</v>
      </c>
      <c r="G70">
        <v>101000</v>
      </c>
      <c r="H70" s="4">
        <f>Table1346[[#This Row],[Price]]/Table1346[[#This Row],[Mileage]]</f>
        <v>0.19792079207920793</v>
      </c>
      <c r="I70" s="3">
        <f ca="1">Table1346[[#This Row],[Price]]/Table1346[[#This Row],[Age]]</f>
        <v>2498.75</v>
      </c>
      <c r="J70">
        <f ca="1">IF(YEAR(TODAY())=Table1346[[#This Row],[year]],0.8,YEAR(TODAY())-Table1346[[#This Row],[year]])</f>
        <v>8</v>
      </c>
      <c r="K7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1.005      106</v>
      </c>
      <c r="L70" s="4">
        <f t="array" aca="1" ref="L70" ca="1">EXP(INDEX(LINEST(LN(Table1346[Price]),Table1346[Age]),1,2))*EXP(INDEX(LINEST(LN(Table1346[Price]),Table1346[Age]),1,1)*Table1346[[#This Row],[Age]])/Table1346[[#This Row],[Price]]</f>
        <v>0.7853895842203954</v>
      </c>
      <c r="M70" s="4">
        <f ca="1">Table1346[[#This Row],[Column1]]*VALUE(SUBSTITUTE(LEFT(Table1346[[#This Row],[normal price/real milage]],3),",",""))</f>
        <v>0.7853895842203954</v>
      </c>
      <c r="N70" s="4"/>
    </row>
    <row r="71" spans="1:14" x14ac:dyDescent="0.25">
      <c r="A71" s="1">
        <v>45081</v>
      </c>
      <c r="B71">
        <v>3</v>
      </c>
      <c r="C71" s="5">
        <v>18999</v>
      </c>
      <c r="D71">
        <v>2017</v>
      </c>
      <c r="E71" t="s">
        <v>84</v>
      </c>
      <c r="F71" t="s">
        <v>12</v>
      </c>
      <c r="G71">
        <v>150000</v>
      </c>
      <c r="H71" s="4">
        <f>Table1346[[#This Row],[Price]]/Table1346[[#This Row],[Mileage]]</f>
        <v>0.12665999999999999</v>
      </c>
      <c r="I71" s="3">
        <f ca="1">Table1346[[#This Row],[Price]]/Table1346[[#This Row],[Age]]</f>
        <v>3166.5</v>
      </c>
      <c r="J71">
        <f ca="1">IF(YEAR(TODAY())=Table1346[[#This Row],[year]],0.8,YEAR(TODAY())-Table1346[[#This Row],[year]])</f>
        <v>6</v>
      </c>
      <c r="K7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0.865      -2,568</v>
      </c>
      <c r="L71" s="4">
        <f t="array" aca="1" ref="L71" ca="1">EXP(INDEX(LINEST(LN(Table1346[Price]),Table1346[Age]),1,2))*EXP(INDEX(LINEST(LN(Table1346[Price]),Table1346[Age]),1,1)*Table1346[[#This Row],[Age]])/Table1346[[#This Row],[Price]]</f>
        <v>0.95874680587111982</v>
      </c>
      <c r="M71" s="4">
        <f ca="1">Table1346[[#This Row],[Column1]]*VALUE(SUBSTITUTE(LEFT(Table1346[[#This Row],[normal price/real milage]],3),",",""))</f>
        <v>0.7669974446968959</v>
      </c>
      <c r="N71" s="4"/>
    </row>
    <row r="72" spans="1:14" x14ac:dyDescent="0.25">
      <c r="A72" s="1">
        <v>45081</v>
      </c>
      <c r="B72">
        <v>18</v>
      </c>
      <c r="C72" s="5">
        <v>18999</v>
      </c>
      <c r="D72">
        <v>2016</v>
      </c>
      <c r="E72" t="s">
        <v>84</v>
      </c>
      <c r="F72" t="s">
        <v>9</v>
      </c>
      <c r="G72">
        <v>127000</v>
      </c>
      <c r="H72" s="4">
        <f>Table1346[[#This Row],[Price]]/Table1346[[#This Row],[Mileage]]</f>
        <v>0.1495984251968504</v>
      </c>
      <c r="I72" s="3">
        <f ca="1">Table1346[[#This Row],[Price]]/Table1346[[#This Row],[Age]]</f>
        <v>2714.1428571428573</v>
      </c>
      <c r="J72">
        <f ca="1">IF(YEAR(TODAY())=Table1346[[#This Row],[year]],0.8,YEAR(TODAY())-Table1346[[#This Row],[year]])</f>
        <v>7</v>
      </c>
      <c r="K7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0.955      -848</v>
      </c>
      <c r="L72" s="4">
        <f t="array" aca="1" ref="L72" ca="1">EXP(INDEX(LINEST(LN(Table1346[Price]),Table1346[Age]),1,2))*EXP(INDEX(LINEST(LN(Table1346[Price]),Table1346[Age]),1,1)*Table1346[[#This Row],[Age]])/Table1346[[#This Row],[Price]]</f>
        <v>0.89009335623161256</v>
      </c>
      <c r="M72" s="4">
        <f ca="1">Table1346[[#This Row],[Column1]]*VALUE(SUBSTITUTE(LEFT(Table1346[[#This Row],[normal price/real milage]],3),",",""))</f>
        <v>0.8010840206084513</v>
      </c>
      <c r="N72" s="4"/>
    </row>
    <row r="73" spans="1:14" x14ac:dyDescent="0.25">
      <c r="A73" s="1">
        <v>45081</v>
      </c>
      <c r="B73">
        <v>35</v>
      </c>
      <c r="C73" s="5">
        <v>18500</v>
      </c>
      <c r="D73">
        <v>2015</v>
      </c>
      <c r="E73" t="s">
        <v>89</v>
      </c>
      <c r="F73" t="s">
        <v>3</v>
      </c>
      <c r="G73">
        <v>160000</v>
      </c>
      <c r="H73" s="4">
        <f>Table1346[[#This Row],[Price]]/Table1346[[#This Row],[Mileage]]</f>
        <v>0.11562500000000001</v>
      </c>
      <c r="I73" s="3">
        <f ca="1">Table1346[[#This Row],[Price]]/Table1346[[#This Row],[Age]]</f>
        <v>2312.5</v>
      </c>
      <c r="J73">
        <f ca="1">IF(YEAR(TODAY())=Table1346[[#This Row],[year]],0.8,YEAR(TODAY())-Table1346[[#This Row],[year]])</f>
        <v>8</v>
      </c>
      <c r="K7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0.848      -2,817</v>
      </c>
      <c r="L73" s="4">
        <f t="array" aca="1" ref="L73" ca="1">EXP(INDEX(LINEST(LN(Table1346[Price]),Table1346[Age]),1,2))*EXP(INDEX(LINEST(LN(Table1346[Price]),Table1346[Age]),1,1)*Table1346[[#This Row],[Age]])/Table1346[[#This Row],[Price]]</f>
        <v>0.84864528586841637</v>
      </c>
      <c r="M73" s="4">
        <f ca="1">Table1346[[#This Row],[Column1]]*VALUE(SUBSTITUTE(LEFT(Table1346[[#This Row],[normal price/real milage]],3),",",""))</f>
        <v>0.67891622869473311</v>
      </c>
      <c r="N73" s="4"/>
    </row>
    <row r="74" spans="1:14" x14ac:dyDescent="0.25">
      <c r="A74" s="1">
        <v>45081</v>
      </c>
      <c r="B74">
        <v>110</v>
      </c>
      <c r="C74" s="5">
        <v>18900</v>
      </c>
      <c r="D74">
        <v>2015</v>
      </c>
      <c r="E74" t="s">
        <v>84</v>
      </c>
      <c r="F74" t="s">
        <v>98</v>
      </c>
      <c r="G74">
        <v>149000</v>
      </c>
      <c r="H74" s="4">
        <f>Table1346[[#This Row],[Price]]/Table1346[[#This Row],[Mileage]]</f>
        <v>0.12684563758389261</v>
      </c>
      <c r="I74" s="3">
        <f ca="1">Table1346[[#This Row],[Price]]/Table1346[[#This Row],[Age]]</f>
        <v>2362.5</v>
      </c>
      <c r="J74">
        <f ca="1">IF(YEAR(TODAY())=Table1346[[#This Row],[year]],0.8,YEAR(TODAY())-Table1346[[#This Row],[year]])</f>
        <v>8</v>
      </c>
      <c r="K7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0.873      -2,395</v>
      </c>
      <c r="L74" s="4">
        <f t="array" aca="1" ref="L74" ca="1">EXP(INDEX(LINEST(LN(Table1346[Price]),Table1346[Age]),1,2))*EXP(INDEX(LINEST(LN(Table1346[Price]),Table1346[Age]),1,1)*Table1346[[#This Row],[Age]])/Table1346[[#This Row],[Price]]</f>
        <v>0.83068453907755047</v>
      </c>
      <c r="M74" s="4">
        <f ca="1">Table1346[[#This Row],[Column1]]*VALUE(SUBSTITUTE(LEFT(Table1346[[#This Row],[normal price/real milage]],3),",",""))</f>
        <v>0.66454763126204042</v>
      </c>
      <c r="N74" s="4"/>
    </row>
    <row r="75" spans="1:14" x14ac:dyDescent="0.25">
      <c r="A75" s="1">
        <v>45081</v>
      </c>
      <c r="B75">
        <v>57</v>
      </c>
      <c r="C75" s="5">
        <v>20000</v>
      </c>
      <c r="D75">
        <v>2016</v>
      </c>
      <c r="E75" t="s">
        <v>84</v>
      </c>
      <c r="F75" t="s">
        <v>9</v>
      </c>
      <c r="G75">
        <v>119000</v>
      </c>
      <c r="H75" s="4">
        <f>Table1346[[#This Row],[Price]]/Table1346[[#This Row],[Mileage]]</f>
        <v>0.16806722689075632</v>
      </c>
      <c r="I75" s="3">
        <f ca="1">Table1346[[#This Row],[Price]]/Table1346[[#This Row],[Age]]</f>
        <v>2857.1428571428573</v>
      </c>
      <c r="J75">
        <f ca="1">IF(YEAR(TODAY())=Table1346[[#This Row],[year]],0.8,YEAR(TODAY())-Table1346[[#This Row],[year]])</f>
        <v>7</v>
      </c>
      <c r="K7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0.937      -1,251</v>
      </c>
      <c r="L75" s="4">
        <f t="array" aca="1" ref="L75" ca="1">EXP(INDEX(LINEST(LN(Table1346[Price]),Table1346[Age]),1,2))*EXP(INDEX(LINEST(LN(Table1346[Price]),Table1346[Age]),1,1)*Table1346[[#This Row],[Age]])/Table1346[[#This Row],[Price]]</f>
        <v>0.84554418375222029</v>
      </c>
      <c r="M75" s="4">
        <f ca="1">Table1346[[#This Row],[Column1]]*VALUE(SUBSTITUTE(LEFT(Table1346[[#This Row],[normal price/real milage]],3),",",""))</f>
        <v>0.76098976537699825</v>
      </c>
      <c r="N75" s="4"/>
    </row>
    <row r="76" spans="1:14" x14ac:dyDescent="0.25">
      <c r="A76" s="1">
        <v>45081</v>
      </c>
      <c r="B76">
        <v>101</v>
      </c>
      <c r="C76" s="5">
        <v>20988</v>
      </c>
      <c r="D76">
        <v>2016</v>
      </c>
      <c r="E76" t="s">
        <v>84</v>
      </c>
      <c r="F76" t="s">
        <v>3</v>
      </c>
      <c r="G76">
        <v>94000</v>
      </c>
      <c r="H76" s="4">
        <f>Table1346[[#This Row],[Price]]/Table1346[[#This Row],[Mileage]]</f>
        <v>0.22327659574468084</v>
      </c>
      <c r="I76" s="3">
        <f ca="1">Table1346[[#This Row],[Price]]/Table1346[[#This Row],[Age]]</f>
        <v>2998.2857142857142</v>
      </c>
      <c r="J76">
        <f ca="1">IF(YEAR(TODAY())=Table1346[[#This Row],[year]],0.8,YEAR(TODAY())-Table1346[[#This Row],[year]])</f>
        <v>7</v>
      </c>
      <c r="K7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0.982      -369</v>
      </c>
      <c r="L76" s="4">
        <f t="array" aca="1" ref="L76" ca="1">EXP(INDEX(LINEST(LN(Table1346[Price]),Table1346[Age]),1,2))*EXP(INDEX(LINEST(LN(Table1346[Price]),Table1346[Age]),1,1)*Table1346[[#This Row],[Age]])/Table1346[[#This Row],[Price]]</f>
        <v>0.80574059820108668</v>
      </c>
      <c r="M76" s="4">
        <f ca="1">Table1346[[#This Row],[Column1]]*VALUE(SUBSTITUTE(LEFT(Table1346[[#This Row],[normal price/real milage]],3),",",""))</f>
        <v>0.725166538380978</v>
      </c>
      <c r="N76" s="4"/>
    </row>
    <row r="77" spans="1:14" x14ac:dyDescent="0.25">
      <c r="A77" s="1">
        <v>45081</v>
      </c>
      <c r="B77">
        <v>86</v>
      </c>
      <c r="C77" s="5">
        <v>18995</v>
      </c>
      <c r="D77">
        <v>2016</v>
      </c>
      <c r="E77" t="s">
        <v>84</v>
      </c>
      <c r="F77" t="s">
        <v>9</v>
      </c>
      <c r="G77">
        <v>182000</v>
      </c>
      <c r="H77" s="4">
        <f>Table1346[[#This Row],[Price]]/Table1346[[#This Row],[Mileage]]</f>
        <v>0.10436813186813187</v>
      </c>
      <c r="I77" s="3">
        <f ca="1">Table1346[[#This Row],[Price]]/Table1346[[#This Row],[Age]]</f>
        <v>2713.5714285714284</v>
      </c>
      <c r="J77">
        <f ca="1">IF(YEAR(TODAY())=Table1346[[#This Row],[year]],0.8,YEAR(TODAY())-Table1346[[#This Row],[year]])</f>
        <v>7</v>
      </c>
      <c r="K7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0.739      -4,958</v>
      </c>
      <c r="L77" s="4">
        <f t="array" aca="1" ref="L77" ca="1">EXP(INDEX(LINEST(LN(Table1346[Price]),Table1346[Age]),1,2))*EXP(INDEX(LINEST(LN(Table1346[Price]),Table1346[Age]),1,1)*Table1346[[#This Row],[Age]])/Table1346[[#This Row],[Price]]</f>
        <v>0.89028079363224033</v>
      </c>
      <c r="M77" s="4">
        <f ca="1">Table1346[[#This Row],[Column1]]*VALUE(SUBSTITUTE(LEFT(Table1346[[#This Row],[normal price/real milage]],3),",",""))</f>
        <v>0.62319655554256814</v>
      </c>
      <c r="N77" s="4"/>
    </row>
    <row r="78" spans="1:14" x14ac:dyDescent="0.25">
      <c r="A78" s="1">
        <v>45081</v>
      </c>
      <c r="B78">
        <v>64</v>
      </c>
      <c r="C78" s="5">
        <v>21988</v>
      </c>
      <c r="D78">
        <v>2016</v>
      </c>
      <c r="E78" t="s">
        <v>92</v>
      </c>
      <c r="F78" t="s">
        <v>7</v>
      </c>
      <c r="G78">
        <v>94000</v>
      </c>
      <c r="H78" s="4">
        <f>Table1346[[#This Row],[Price]]/Table1346[[#This Row],[Mileage]]</f>
        <v>0.23391489361702128</v>
      </c>
      <c r="I78" s="3">
        <f ca="1">Table1346[[#This Row],[Price]]/Table1346[[#This Row],[Age]]</f>
        <v>3141.1428571428573</v>
      </c>
      <c r="J78">
        <f ca="1">IF(YEAR(TODAY())=Table1346[[#This Row],[year]],0.8,YEAR(TODAY())-Table1346[[#This Row],[year]])</f>
        <v>7</v>
      </c>
      <c r="K7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0.938      -1,369</v>
      </c>
      <c r="L78" s="4">
        <f t="array" aca="1" ref="L78" ca="1">EXP(INDEX(LINEST(LN(Table1346[Price]),Table1346[Age]),1,2))*EXP(INDEX(LINEST(LN(Table1346[Price]),Table1346[Age]),1,1)*Table1346[[#This Row],[Age]])/Table1346[[#This Row],[Price]]</f>
        <v>0.76909603761344403</v>
      </c>
      <c r="M78" s="4">
        <f ca="1">Table1346[[#This Row],[Column1]]*VALUE(SUBSTITUTE(LEFT(Table1346[[#This Row],[normal price/real milage]],3),",",""))</f>
        <v>0.69218643385209966</v>
      </c>
      <c r="N78" s="4"/>
    </row>
    <row r="79" spans="1:14" x14ac:dyDescent="0.25">
      <c r="A79" s="1">
        <v>45081</v>
      </c>
      <c r="B79">
        <v>52</v>
      </c>
      <c r="C79" s="5">
        <v>22249</v>
      </c>
      <c r="D79">
        <v>2016</v>
      </c>
      <c r="E79" t="s">
        <v>84</v>
      </c>
      <c r="F79" t="s">
        <v>1</v>
      </c>
      <c r="G79">
        <v>94000</v>
      </c>
      <c r="H79" s="4">
        <f>Table1346[[#This Row],[Price]]/Table1346[[#This Row],[Mileage]]</f>
        <v>0.23669148936170212</v>
      </c>
      <c r="I79" s="3">
        <f ca="1">Table1346[[#This Row],[Price]]/Table1346[[#This Row],[Age]]</f>
        <v>3178.4285714285716</v>
      </c>
      <c r="J79">
        <f ca="1">IF(YEAR(TODAY())=Table1346[[#This Row],[year]],0.8,YEAR(TODAY())-Table1346[[#This Row],[year]])</f>
        <v>7</v>
      </c>
      <c r="K7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0.927      -1,630</v>
      </c>
      <c r="L79" s="4">
        <f t="array" aca="1" ref="L79" ca="1">EXP(INDEX(LINEST(LN(Table1346[Price]),Table1346[Age]),1,2))*EXP(INDEX(LINEST(LN(Table1346[Price]),Table1346[Age]),1,1)*Table1346[[#This Row],[Age]])/Table1346[[#This Row],[Price]]</f>
        <v>0.76007387635598933</v>
      </c>
      <c r="M79" s="4">
        <f ca="1">Table1346[[#This Row],[Column1]]*VALUE(SUBSTITUTE(LEFT(Table1346[[#This Row],[normal price/real milage]],3),",",""))</f>
        <v>0.68406648872039044</v>
      </c>
      <c r="N79" s="4"/>
    </row>
    <row r="80" spans="1:14" x14ac:dyDescent="0.25">
      <c r="A80" s="1">
        <v>45081</v>
      </c>
      <c r="B80">
        <v>116</v>
      </c>
      <c r="C80" s="5">
        <v>19999</v>
      </c>
      <c r="D80">
        <v>2016</v>
      </c>
      <c r="E80" t="s">
        <v>84</v>
      </c>
      <c r="F80" t="s">
        <v>7</v>
      </c>
      <c r="G80">
        <v>160000</v>
      </c>
      <c r="H80" s="4">
        <f>Table1346[[#This Row],[Price]]/Table1346[[#This Row],[Mileage]]</f>
        <v>0.12499375</v>
      </c>
      <c r="I80" s="3">
        <f ca="1">Table1346[[#This Row],[Price]]/Table1346[[#This Row],[Age]]</f>
        <v>2857</v>
      </c>
      <c r="J80">
        <f ca="1">IF(YEAR(TODAY())=Table1346[[#This Row],[year]],0.8,YEAR(TODAY())-Table1346[[#This Row],[year]])</f>
        <v>7</v>
      </c>
      <c r="K8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0.784      -4,316</v>
      </c>
      <c r="L80" s="4">
        <f t="array" aca="1" ref="L80" ca="1">EXP(INDEX(LINEST(LN(Table1346[Price]),Table1346[Age]),1,2))*EXP(INDEX(LINEST(LN(Table1346[Price]),Table1346[Age]),1,1)*Table1346[[#This Row],[Age]])/Table1346[[#This Row],[Price]]</f>
        <v>0.84558646307537411</v>
      </c>
      <c r="M80" s="4">
        <f ca="1">Table1346[[#This Row],[Column1]]*VALUE(SUBSTITUTE(LEFT(Table1346[[#This Row],[normal price/real milage]],3),",",""))</f>
        <v>0.5919105241527618</v>
      </c>
      <c r="N80" s="4"/>
    </row>
    <row r="81" spans="1:14" x14ac:dyDescent="0.25">
      <c r="A81" s="1">
        <v>45081</v>
      </c>
      <c r="B81">
        <v>132</v>
      </c>
      <c r="C81" s="5">
        <v>20888</v>
      </c>
      <c r="D81">
        <v>2016</v>
      </c>
      <c r="E81" t="s">
        <v>84</v>
      </c>
      <c r="F81" t="s">
        <v>1</v>
      </c>
      <c r="G81">
        <v>142000</v>
      </c>
      <c r="H81" s="4">
        <f>Table1346[[#This Row],[Price]]/Table1346[[#This Row],[Mileage]]</f>
        <v>0.14709859154929578</v>
      </c>
      <c r="I81" s="3">
        <f ca="1">Table1346[[#This Row],[Price]]/Table1346[[#This Row],[Age]]</f>
        <v>2984</v>
      </c>
      <c r="J81">
        <f ca="1">IF(YEAR(TODAY())=Table1346[[#This Row],[year]],0.8,YEAR(TODAY())-Table1346[[#This Row],[year]])</f>
        <v>7</v>
      </c>
      <c r="K8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0.815      -3,859</v>
      </c>
      <c r="L81" s="4">
        <f t="array" aca="1" ref="L81" ca="1">EXP(INDEX(LINEST(LN(Table1346[Price]),Table1346[Age]),1,2))*EXP(INDEX(LINEST(LN(Table1346[Price]),Table1346[Age]),1,1)*Table1346[[#This Row],[Age]])/Table1346[[#This Row],[Price]]</f>
        <v>0.80959803116834572</v>
      </c>
      <c r="M81" s="4">
        <f ca="1">Table1346[[#This Row],[Column1]]*VALUE(SUBSTITUTE(LEFT(Table1346[[#This Row],[normal price/real milage]],3),",",""))</f>
        <v>0.64767842493467664</v>
      </c>
      <c r="N81" s="4"/>
    </row>
    <row r="82" spans="1:14" x14ac:dyDescent="0.25">
      <c r="A82" s="1">
        <v>45081</v>
      </c>
      <c r="B82">
        <v>153</v>
      </c>
      <c r="C82" s="5">
        <v>25900</v>
      </c>
      <c r="D82">
        <v>2017</v>
      </c>
      <c r="E82" t="s">
        <v>84</v>
      </c>
      <c r="F82" t="s">
        <v>107</v>
      </c>
      <c r="G82">
        <v>49000</v>
      </c>
      <c r="H82" s="4">
        <f>Table1346[[#This Row],[Price]]/Table1346[[#This Row],[Mileage]]</f>
        <v>0.52857142857142858</v>
      </c>
      <c r="I82" s="3">
        <f ca="1">Table1346[[#This Row],[Price]]/Table1346[[#This Row],[Age]]</f>
        <v>4316.666666666667</v>
      </c>
      <c r="J82">
        <f ca="1">IF(YEAR(TODAY())=Table1346[[#This Row],[year]],0.8,YEAR(TODAY())-Table1346[[#This Row],[year]])</f>
        <v>6</v>
      </c>
      <c r="K8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0.926      -1,915</v>
      </c>
      <c r="L82" s="4">
        <f t="array" aca="1" ref="L82" ca="1">EXP(INDEX(LINEST(LN(Table1346[Price]),Table1346[Age]),1,2))*EXP(INDEX(LINEST(LN(Table1346[Price]),Table1346[Age]),1,1)*Table1346[[#This Row],[Age]])/Table1346[[#This Row],[Price]]</f>
        <v>0.70329075539557551</v>
      </c>
      <c r="M82" s="4">
        <f ca="1">Table1346[[#This Row],[Column1]]*VALUE(SUBSTITUTE(LEFT(Table1346[[#This Row],[normal price/real milage]],3),",",""))</f>
        <v>0.63296167985601792</v>
      </c>
      <c r="N82" s="4"/>
    </row>
    <row r="83" spans="1:14" x14ac:dyDescent="0.25">
      <c r="A83" s="1">
        <v>45081</v>
      </c>
      <c r="B83">
        <v>103</v>
      </c>
      <c r="C83" s="5">
        <v>21995</v>
      </c>
      <c r="D83">
        <v>2015</v>
      </c>
      <c r="E83" t="s">
        <v>84</v>
      </c>
      <c r="F83" t="s">
        <v>18</v>
      </c>
      <c r="G83">
        <v>120000</v>
      </c>
      <c r="H83" s="4">
        <f>Table1346[[#This Row],[Price]]/Table1346[[#This Row],[Mileage]]</f>
        <v>0.18329166666666666</v>
      </c>
      <c r="I83" s="3">
        <f ca="1">Table1346[[#This Row],[Price]]/Table1346[[#This Row],[Age]]</f>
        <v>2749.375</v>
      </c>
      <c r="J83">
        <f ca="1">IF(YEAR(TODAY())=Table1346[[#This Row],[year]],0.8,YEAR(TODAY())-Table1346[[#This Row],[year]])</f>
        <v>8</v>
      </c>
      <c r="K8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0.849      -3,320</v>
      </c>
      <c r="L83" s="4">
        <f t="array" aca="1" ref="L83" ca="1">EXP(INDEX(LINEST(LN(Table1346[Price]),Table1346[Age]),1,2))*EXP(INDEX(LINEST(LN(Table1346[Price]),Table1346[Age]),1,1)*Table1346[[#This Row],[Age]])/Table1346[[#This Row],[Price]]</f>
        <v>0.71379576215347595</v>
      </c>
      <c r="M83" s="4">
        <f ca="1">Table1346[[#This Row],[Column1]]*VALUE(SUBSTITUTE(LEFT(Table1346[[#This Row],[normal price/real milage]],3),",",""))</f>
        <v>0.57103660972278081</v>
      </c>
      <c r="N83" s="4"/>
    </row>
    <row r="84" spans="1:14" x14ac:dyDescent="0.25">
      <c r="A84" s="1">
        <v>45081</v>
      </c>
      <c r="B84">
        <v>74</v>
      </c>
      <c r="C84" s="5">
        <v>24999</v>
      </c>
      <c r="D84">
        <v>2019</v>
      </c>
      <c r="E84" t="s">
        <v>84</v>
      </c>
      <c r="F84" t="s">
        <v>1</v>
      </c>
      <c r="G84">
        <v>93000</v>
      </c>
      <c r="H84" s="4">
        <f>Table1346[[#This Row],[Price]]/Table1346[[#This Row],[Mileage]]</f>
        <v>0.26880645161290323</v>
      </c>
      <c r="I84" s="3">
        <f ca="1">Table1346[[#This Row],[Price]]/Table1346[[#This Row],[Age]]</f>
        <v>6249.75</v>
      </c>
      <c r="J84">
        <f ca="1">IF(YEAR(TODAY())=Table1346[[#This Row],[year]],0.8,YEAR(TODAY())-Table1346[[#This Row],[year]])</f>
        <v>4</v>
      </c>
      <c r="K8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0.828      -4,305</v>
      </c>
      <c r="L84" s="4">
        <f t="array" aca="1" ref="L84" ca="1">EXP(INDEX(LINEST(LN(Table1346[Price]),Table1346[Age]),1,2))*EXP(INDEX(LINEST(LN(Table1346[Price]),Table1346[Age]),1,1)*Table1346[[#This Row],[Age]])/Table1346[[#This Row],[Price]]</f>
        <v>0.84537378761937587</v>
      </c>
      <c r="M84" s="4">
        <f ca="1">Table1346[[#This Row],[Column1]]*VALUE(SUBSTITUTE(LEFT(Table1346[[#This Row],[normal price/real milage]],3),",",""))</f>
        <v>0.67629903009550074</v>
      </c>
      <c r="N84" s="4"/>
    </row>
    <row r="85" spans="1:14" x14ac:dyDescent="0.25">
      <c r="A85" s="1">
        <v>45081</v>
      </c>
      <c r="B85">
        <v>99</v>
      </c>
      <c r="C85" s="5">
        <v>23545</v>
      </c>
      <c r="D85">
        <v>2016</v>
      </c>
      <c r="E85" t="s">
        <v>84</v>
      </c>
      <c r="F85" t="s">
        <v>8</v>
      </c>
      <c r="G85">
        <v>113000</v>
      </c>
      <c r="H85" s="4">
        <f>Table1346[[#This Row],[Price]]/Table1346[[#This Row],[Mileage]]</f>
        <v>0.20836283185840707</v>
      </c>
      <c r="I85" s="3">
        <f ca="1">Table1346[[#This Row],[Price]]/Table1346[[#This Row],[Age]]</f>
        <v>3363.5714285714284</v>
      </c>
      <c r="J85">
        <f ca="1">IF(YEAR(TODAY())=Table1346[[#This Row],[year]],0.8,YEAR(TODAY())-Table1346[[#This Row],[year]])</f>
        <v>7</v>
      </c>
      <c r="K8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0.815      -4,347</v>
      </c>
      <c r="L85" s="4">
        <f t="array" aca="1" ref="L85" ca="1">EXP(INDEX(LINEST(LN(Table1346[Price]),Table1346[Age]),1,2))*EXP(INDEX(LINEST(LN(Table1346[Price]),Table1346[Age]),1,1)*Table1346[[#This Row],[Age]])/Table1346[[#This Row],[Price]]</f>
        <v>0.71823672435949915</v>
      </c>
      <c r="M85" s="4">
        <f ca="1">Table1346[[#This Row],[Column1]]*VALUE(SUBSTITUTE(LEFT(Table1346[[#This Row],[normal price/real milage]],3),",",""))</f>
        <v>0.57458937948759936</v>
      </c>
      <c r="N85" s="4"/>
    </row>
    <row r="86" spans="1:14" x14ac:dyDescent="0.25">
      <c r="A86" s="1">
        <v>45081</v>
      </c>
      <c r="B86">
        <v>82</v>
      </c>
      <c r="C86" s="5">
        <v>24995</v>
      </c>
      <c r="D86">
        <v>2018</v>
      </c>
      <c r="E86" t="s">
        <v>84</v>
      </c>
      <c r="F86" t="s">
        <v>13</v>
      </c>
      <c r="G86">
        <v>76000</v>
      </c>
      <c r="H86" s="4">
        <f>Table1346[[#This Row],[Price]]/Table1346[[#This Row],[Mileage]]</f>
        <v>0.32888157894736841</v>
      </c>
      <c r="I86" s="3">
        <f ca="1">Table1346[[#This Row],[Price]]/Table1346[[#This Row],[Age]]</f>
        <v>4999</v>
      </c>
      <c r="J86">
        <f ca="1">IF(YEAR(TODAY())=Table1346[[#This Row],[year]],0.8,YEAR(TODAY())-Table1346[[#This Row],[year]])</f>
        <v>5</v>
      </c>
      <c r="K8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0.879      -3,029</v>
      </c>
      <c r="L86" s="4">
        <f t="array" aca="1" ref="L86" ca="1">EXP(INDEX(LINEST(LN(Table1346[Price]),Table1346[Age]),1,2))*EXP(INDEX(LINEST(LN(Table1346[Price]),Table1346[Age]),1,1)*Table1346[[#This Row],[Age]])/Table1346[[#This Row],[Price]]</f>
        <v>0.78496429424539582</v>
      </c>
      <c r="M86" s="4">
        <f ca="1">Table1346[[#This Row],[Column1]]*VALUE(SUBSTITUTE(LEFT(Table1346[[#This Row],[normal price/real milage]],3),",",""))</f>
        <v>0.62797143539631672</v>
      </c>
      <c r="N86" s="4"/>
    </row>
    <row r="87" spans="1:14" x14ac:dyDescent="0.25">
      <c r="A87" s="1">
        <v>45081</v>
      </c>
      <c r="B87">
        <v>1</v>
      </c>
      <c r="C87" s="5">
        <v>25000</v>
      </c>
      <c r="D87">
        <v>2018</v>
      </c>
      <c r="E87" t="s">
        <v>84</v>
      </c>
      <c r="F87" t="s">
        <v>7</v>
      </c>
      <c r="G87">
        <v>78000</v>
      </c>
      <c r="H87" s="4">
        <f>Table1346[[#This Row],[Price]]/Table1346[[#This Row],[Mileage]]</f>
        <v>0.32051282051282054</v>
      </c>
      <c r="I87" s="3">
        <f ca="1">Table1346[[#This Row],[Price]]/Table1346[[#This Row],[Age]]</f>
        <v>5000</v>
      </c>
      <c r="J87">
        <f ca="1">IF(YEAR(TODAY())=Table1346[[#This Row],[year]],0.8,YEAR(TODAY())-Table1346[[#This Row],[year]])</f>
        <v>5</v>
      </c>
      <c r="K8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0.873      -3,184</v>
      </c>
      <c r="L87" s="4">
        <f t="array" aca="1" ref="L87" ca="1">EXP(INDEX(LINEST(LN(Table1346[Price]),Table1346[Age]),1,2))*EXP(INDEX(LINEST(LN(Table1346[Price]),Table1346[Age]),1,1)*Table1346[[#This Row],[Age]])/Table1346[[#This Row],[Price]]</f>
        <v>0.78480730138654675</v>
      </c>
      <c r="M87" s="4">
        <f ca="1">Table1346[[#This Row],[Column1]]*VALUE(SUBSTITUTE(LEFT(Table1346[[#This Row],[normal price/real milage]],3),",",""))</f>
        <v>0.62784584110923747</v>
      </c>
      <c r="N87" s="4"/>
    </row>
    <row r="88" spans="1:14" x14ac:dyDescent="0.25">
      <c r="A88" s="1">
        <v>45081</v>
      </c>
      <c r="B88">
        <v>94</v>
      </c>
      <c r="C88" s="5">
        <v>22495</v>
      </c>
      <c r="D88">
        <v>2019</v>
      </c>
      <c r="E88" t="s">
        <v>84</v>
      </c>
      <c r="F88" t="s">
        <v>9</v>
      </c>
      <c r="G88">
        <v>185000</v>
      </c>
      <c r="H88" s="4">
        <f>Table1346[[#This Row],[Price]]/Table1346[[#This Row],[Mileage]]</f>
        <v>0.1215945945945946</v>
      </c>
      <c r="I88" s="3">
        <f ca="1">Table1346[[#This Row],[Price]]/Table1346[[#This Row],[Age]]</f>
        <v>5623.75</v>
      </c>
      <c r="J88">
        <f ca="1">IF(YEAR(TODAY())=Table1346[[#This Row],[year]],0.8,YEAR(TODAY())-Table1346[[#This Row],[year]])</f>
        <v>4</v>
      </c>
      <c r="K8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0.614      -8,682</v>
      </c>
      <c r="L88" s="4">
        <f t="array" aca="1" ref="L88" ca="1">EXP(INDEX(LINEST(LN(Table1346[Price]),Table1346[Age]),1,2))*EXP(INDEX(LINEST(LN(Table1346[Price]),Table1346[Age]),1,1)*Table1346[[#This Row],[Age]])/Table1346[[#This Row],[Price]]</f>
        <v>0.93947540861065904</v>
      </c>
      <c r="M88" s="4">
        <f ca="1">Table1346[[#This Row],[Column1]]*VALUE(SUBSTITUTE(LEFT(Table1346[[#This Row],[normal price/real milage]],3),",",""))</f>
        <v>0.5636852451663954</v>
      </c>
      <c r="N88" s="4"/>
    </row>
    <row r="89" spans="1:14" x14ac:dyDescent="0.25">
      <c r="A89" s="1">
        <v>45081</v>
      </c>
      <c r="B89">
        <v>136</v>
      </c>
      <c r="C89" s="5">
        <v>8800</v>
      </c>
      <c r="D89">
        <v>2001</v>
      </c>
      <c r="E89" t="s">
        <v>84</v>
      </c>
      <c r="F89" t="s">
        <v>1</v>
      </c>
      <c r="G89">
        <v>390000</v>
      </c>
      <c r="H89" s="4">
        <f>Table1346[[#This Row],[Price]]/Table1346[[#This Row],[Mileage]]</f>
        <v>2.2564102564102566E-2</v>
      </c>
      <c r="I89" s="3">
        <f ca="1">Table1346[[#This Row],[Price]]/Table1346[[#This Row],[Age]]</f>
        <v>400</v>
      </c>
      <c r="J89">
        <f ca="1">IF(YEAR(TODAY())=Table1346[[#This Row],[year]],0.8,YEAR(TODAY())-Table1346[[#This Row],[year]])</f>
        <v>22</v>
      </c>
      <c r="K8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-0.173      -10,321</v>
      </c>
      <c r="L89" s="4">
        <f t="array" aca="1" ref="L89" ca="1">EXP(INDEX(LINEST(LN(Table1346[Price]),Table1346[Age]),1,2))*EXP(INDEX(LINEST(LN(Table1346[Price]),Table1346[Age]),1,1)*Table1346[[#This Row],[Age]])/Table1346[[#This Row],[Price]]</f>
        <v>0.63046077301465009</v>
      </c>
      <c r="M89" s="4">
        <f ca="1">Table1346[[#This Row],[Column1]]*VALUE(SUBSTITUTE(LEFT(Table1346[[#This Row],[normal price/real milage]],3),",",""))</f>
        <v>0</v>
      </c>
      <c r="N89" s="4"/>
    </row>
    <row r="90" spans="1:14" x14ac:dyDescent="0.25">
      <c r="A90" s="1">
        <v>45081</v>
      </c>
      <c r="B90">
        <v>17</v>
      </c>
      <c r="C90" s="5">
        <v>24950</v>
      </c>
      <c r="D90">
        <v>2017</v>
      </c>
      <c r="E90" t="s">
        <v>84</v>
      </c>
      <c r="F90" t="s">
        <v>1</v>
      </c>
      <c r="G90">
        <v>87000</v>
      </c>
      <c r="H90" s="4">
        <f>Table1346[[#This Row],[Price]]/Table1346[[#This Row],[Mileage]]</f>
        <v>0.2867816091954023</v>
      </c>
      <c r="I90" s="3">
        <f ca="1">Table1346[[#This Row],[Price]]/Table1346[[#This Row],[Age]]</f>
        <v>4158.333333333333</v>
      </c>
      <c r="J90">
        <f ca="1">IF(YEAR(TODAY())=Table1346[[#This Row],[year]],0.8,YEAR(TODAY())-Table1346[[#This Row],[year]])</f>
        <v>6</v>
      </c>
      <c r="K9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0.847      -3,807</v>
      </c>
      <c r="L90" s="4">
        <f t="array" aca="1" ref="L90" ca="1">EXP(INDEX(LINEST(LN(Table1346[Price]),Table1346[Age]),1,2))*EXP(INDEX(LINEST(LN(Table1346[Price]),Table1346[Age]),1,1)*Table1346[[#This Row],[Age]])/Table1346[[#This Row],[Price]]</f>
        <v>0.73006936131244105</v>
      </c>
      <c r="M90" s="4">
        <f ca="1">Table1346[[#This Row],[Column1]]*VALUE(SUBSTITUTE(LEFT(Table1346[[#This Row],[normal price/real milage]],3),",",""))</f>
        <v>0.58405548904995286</v>
      </c>
      <c r="N90" s="4"/>
    </row>
    <row r="91" spans="1:14" x14ac:dyDescent="0.25">
      <c r="A91" s="1">
        <v>45081</v>
      </c>
      <c r="B91">
        <v>49</v>
      </c>
      <c r="C91" s="5">
        <v>26500</v>
      </c>
      <c r="D91">
        <v>2018</v>
      </c>
      <c r="E91" t="s">
        <v>84</v>
      </c>
      <c r="F91" t="s">
        <v>1</v>
      </c>
      <c r="G91">
        <v>78000</v>
      </c>
      <c r="H91" s="4">
        <f>Table1346[[#This Row],[Price]]/Table1346[[#This Row],[Mileage]]</f>
        <v>0.33974358974358976</v>
      </c>
      <c r="I91" s="3">
        <f ca="1">Table1346[[#This Row],[Price]]/Table1346[[#This Row],[Age]]</f>
        <v>5300</v>
      </c>
      <c r="J91">
        <f ca="1">IF(YEAR(TODAY())=Table1346[[#This Row],[year]],0.8,YEAR(TODAY())-Table1346[[#This Row],[year]])</f>
        <v>5</v>
      </c>
      <c r="K9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0.823      -4,684</v>
      </c>
      <c r="L91" s="4">
        <f t="array" aca="1" ref="L91" ca="1">EXP(INDEX(LINEST(LN(Table1346[Price]),Table1346[Age]),1,2))*EXP(INDEX(LINEST(LN(Table1346[Price]),Table1346[Age]),1,1)*Table1346[[#This Row],[Age]])/Table1346[[#This Row],[Price]]</f>
        <v>0.74038424659108182</v>
      </c>
      <c r="M91" s="4">
        <f ca="1">Table1346[[#This Row],[Column1]]*VALUE(SUBSTITUTE(LEFT(Table1346[[#This Row],[normal price/real milage]],3),",",""))</f>
        <v>0.59230739727286552</v>
      </c>
      <c r="N91" s="4"/>
    </row>
    <row r="92" spans="1:14" x14ac:dyDescent="0.25">
      <c r="A92" s="1">
        <v>45081</v>
      </c>
      <c r="B92">
        <v>22</v>
      </c>
      <c r="C92" s="5">
        <v>25995</v>
      </c>
      <c r="D92">
        <v>2017</v>
      </c>
      <c r="E92" t="s">
        <v>84</v>
      </c>
      <c r="F92" t="s">
        <v>7</v>
      </c>
      <c r="G92">
        <v>74000</v>
      </c>
      <c r="H92" s="4">
        <f>Table1346[[#This Row],[Price]]/Table1346[[#This Row],[Mileage]]</f>
        <v>0.35128378378378378</v>
      </c>
      <c r="I92" s="3">
        <f ca="1">Table1346[[#This Row],[Price]]/Table1346[[#This Row],[Age]]</f>
        <v>4332.5</v>
      </c>
      <c r="J92">
        <f ca="1">IF(YEAR(TODAY())=Table1346[[#This Row],[year]],0.8,YEAR(TODAY())-Table1346[[#This Row],[year]])</f>
        <v>6</v>
      </c>
      <c r="K9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0.851      -3,880</v>
      </c>
      <c r="L92" s="4">
        <f t="array" aca="1" ref="L92" ca="1">EXP(INDEX(LINEST(LN(Table1346[Price]),Table1346[Age]),1,2))*EXP(INDEX(LINEST(LN(Table1346[Price]),Table1346[Age]),1,1)*Table1346[[#This Row],[Age]])/Table1346[[#This Row],[Price]]</f>
        <v>0.7007205449026892</v>
      </c>
      <c r="M92" s="4">
        <f ca="1">Table1346[[#This Row],[Column1]]*VALUE(SUBSTITUTE(LEFT(Table1346[[#This Row],[normal price/real milage]],3),",",""))</f>
        <v>0.56057643592215134</v>
      </c>
      <c r="N92" s="4"/>
    </row>
    <row r="93" spans="1:14" x14ac:dyDescent="0.25">
      <c r="A93" s="1">
        <v>45081</v>
      </c>
      <c r="B93">
        <v>152</v>
      </c>
      <c r="C93" s="5">
        <v>27865</v>
      </c>
      <c r="D93">
        <v>2019</v>
      </c>
      <c r="E93" t="s">
        <v>84</v>
      </c>
      <c r="F93" t="s">
        <v>106</v>
      </c>
      <c r="G93">
        <v>45000</v>
      </c>
      <c r="H93" s="4">
        <f>Table1346[[#This Row],[Price]]/Table1346[[#This Row],[Mileage]]</f>
        <v>0.61922222222222223</v>
      </c>
      <c r="I93" s="3">
        <f ca="1">Table1346[[#This Row],[Price]]/Table1346[[#This Row],[Age]]</f>
        <v>6966.25</v>
      </c>
      <c r="J93">
        <f ca="1">IF(YEAR(TODAY())=Table1346[[#This Row],[year]],0.8,YEAR(TODAY())-Table1346[[#This Row],[year]])</f>
        <v>4</v>
      </c>
      <c r="K9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0.872      -3,580</v>
      </c>
      <c r="L93" s="4">
        <f t="array" aca="1" ref="L93" ca="1">EXP(INDEX(LINEST(LN(Table1346[Price]),Table1346[Age]),1,2))*EXP(INDEX(LINEST(LN(Table1346[Price]),Table1346[Age]),1,1)*Table1346[[#This Row],[Age]])/Table1346[[#This Row],[Price]]</f>
        <v>0.75842452240074565</v>
      </c>
      <c r="M93" s="4">
        <f ca="1">Table1346[[#This Row],[Column1]]*VALUE(SUBSTITUTE(LEFT(Table1346[[#This Row],[normal price/real milage]],3),",",""))</f>
        <v>0.60673961792059661</v>
      </c>
      <c r="N93" s="4"/>
    </row>
    <row r="94" spans="1:14" x14ac:dyDescent="0.25">
      <c r="A94" s="1">
        <v>45081</v>
      </c>
      <c r="B94">
        <v>50</v>
      </c>
      <c r="C94" s="5">
        <v>27500</v>
      </c>
      <c r="D94">
        <v>2018</v>
      </c>
      <c r="E94" t="s">
        <v>84</v>
      </c>
      <c r="F94" t="s">
        <v>80</v>
      </c>
      <c r="G94">
        <v>78000</v>
      </c>
      <c r="H94" s="4">
        <f>Table1346[[#This Row],[Price]]/Table1346[[#This Row],[Mileage]]</f>
        <v>0.35256410256410259</v>
      </c>
      <c r="I94" s="3">
        <f ca="1">Table1346[[#This Row],[Price]]/Table1346[[#This Row],[Age]]</f>
        <v>5500</v>
      </c>
      <c r="J94">
        <f ca="1">IF(YEAR(TODAY())=Table1346[[#This Row],[year]],0.8,YEAR(TODAY())-Table1346[[#This Row],[year]])</f>
        <v>5</v>
      </c>
      <c r="K9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0.793      -5,684</v>
      </c>
      <c r="L94" s="4">
        <f t="array" aca="1" ref="L94" ca="1">EXP(INDEX(LINEST(LN(Table1346[Price]),Table1346[Age]),1,2))*EXP(INDEX(LINEST(LN(Table1346[Price]),Table1346[Age]),1,1)*Table1346[[#This Row],[Age]])/Table1346[[#This Row],[Price]]</f>
        <v>0.7134611830786789</v>
      </c>
      <c r="M94" s="4">
        <f ca="1">Table1346[[#This Row],[Column1]]*VALUE(SUBSTITUTE(LEFT(Table1346[[#This Row],[normal price/real milage]],3),",",""))</f>
        <v>0.49942282815507522</v>
      </c>
      <c r="N94" s="4"/>
    </row>
    <row r="95" spans="1:14" x14ac:dyDescent="0.25">
      <c r="A95" s="1">
        <v>45081</v>
      </c>
      <c r="B95">
        <v>5</v>
      </c>
      <c r="C95" s="5">
        <v>22900</v>
      </c>
      <c r="D95">
        <v>2017</v>
      </c>
      <c r="E95" t="s">
        <v>84</v>
      </c>
      <c r="F95" t="s">
        <v>1</v>
      </c>
      <c r="G95">
        <v>155000</v>
      </c>
      <c r="H95" s="4">
        <f>Table1346[[#This Row],[Price]]/Table1346[[#This Row],[Mileage]]</f>
        <v>0.14774193548387096</v>
      </c>
      <c r="I95" s="3">
        <f ca="1">Table1346[[#This Row],[Price]]/Table1346[[#This Row],[Age]]</f>
        <v>3816.6666666666665</v>
      </c>
      <c r="J95">
        <f ca="1">IF(YEAR(TODAY())=Table1346[[#This Row],[year]],0.8,YEAR(TODAY())-Table1346[[#This Row],[year]])</f>
        <v>6</v>
      </c>
      <c r="K9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0.701      -6,843</v>
      </c>
      <c r="L95" s="4">
        <f t="array" aca="1" ref="L95" ca="1">EXP(INDEX(LINEST(LN(Table1346[Price]),Table1346[Age]),1,2))*EXP(INDEX(LINEST(LN(Table1346[Price]),Table1346[Age]),1,1)*Table1346[[#This Row],[Age]])/Table1346[[#This Row],[Price]]</f>
        <v>0.79542491549106575</v>
      </c>
      <c r="M95" s="4">
        <f ca="1">Table1346[[#This Row],[Column1]]*VALUE(SUBSTITUTE(LEFT(Table1346[[#This Row],[normal price/real milage]],3),",",""))</f>
        <v>0.55679744084374594</v>
      </c>
      <c r="N95" s="4"/>
    </row>
    <row r="96" spans="1:14" x14ac:dyDescent="0.25">
      <c r="A96" s="1">
        <v>45081</v>
      </c>
      <c r="B96">
        <v>2</v>
      </c>
      <c r="C96" s="5">
        <v>27477</v>
      </c>
      <c r="D96">
        <v>2017</v>
      </c>
      <c r="E96" t="s">
        <v>85</v>
      </c>
      <c r="F96" t="s">
        <v>1</v>
      </c>
      <c r="G96">
        <v>66000</v>
      </c>
      <c r="H96" s="4">
        <f>Table1346[[#This Row],[Price]]/Table1346[[#This Row],[Mileage]]</f>
        <v>0.41631818181818181</v>
      </c>
      <c r="I96" s="3">
        <f ca="1">Table1346[[#This Row],[Price]]/Table1346[[#This Row],[Age]]</f>
        <v>4579.5</v>
      </c>
      <c r="J96">
        <f ca="1">IF(YEAR(TODAY())=Table1346[[#This Row],[year]],0.8,YEAR(TODAY())-Table1346[[#This Row],[year]])</f>
        <v>6</v>
      </c>
      <c r="K9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0.827      -4,763</v>
      </c>
      <c r="L96" s="4">
        <f t="array" aca="1" ref="L96" ca="1">EXP(INDEX(LINEST(LN(Table1346[Price]),Table1346[Age]),1,2))*EXP(INDEX(LINEST(LN(Table1346[Price]),Table1346[Age]),1,1)*Table1346[[#This Row],[Age]])/Table1346[[#This Row],[Price]]</f>
        <v>0.6629264681277216</v>
      </c>
      <c r="M96" s="4">
        <f ca="1">Table1346[[#This Row],[Column1]]*VALUE(SUBSTITUTE(LEFT(Table1346[[#This Row],[normal price/real milage]],3),",",""))</f>
        <v>0.53034117450217733</v>
      </c>
      <c r="N96" s="4"/>
    </row>
    <row r="97" spans="1:14" x14ac:dyDescent="0.25">
      <c r="A97" s="1">
        <v>45081</v>
      </c>
      <c r="B97">
        <v>98</v>
      </c>
      <c r="C97" s="5">
        <v>25950</v>
      </c>
      <c r="D97">
        <v>2018</v>
      </c>
      <c r="E97" t="s">
        <v>84</v>
      </c>
      <c r="F97" t="s">
        <v>1</v>
      </c>
      <c r="G97">
        <v>111000</v>
      </c>
      <c r="H97" s="4">
        <f>Table1346[[#This Row],[Price]]/Table1346[[#This Row],[Mileage]]</f>
        <v>0.23378378378378378</v>
      </c>
      <c r="I97" s="3">
        <f ca="1">Table1346[[#This Row],[Price]]/Table1346[[#This Row],[Age]]</f>
        <v>5190</v>
      </c>
      <c r="J97">
        <f ca="1">IF(YEAR(TODAY())=Table1346[[#This Row],[year]],0.8,YEAR(TODAY())-Table1346[[#This Row],[year]])</f>
        <v>5</v>
      </c>
      <c r="K9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0.746      -6,602</v>
      </c>
      <c r="L97" s="4">
        <f t="array" aca="1" ref="L97" ca="1">EXP(INDEX(LINEST(LN(Table1346[Price]),Table1346[Age]),1,2))*EXP(INDEX(LINEST(LN(Table1346[Price]),Table1346[Age]),1,1)*Table1346[[#This Row],[Age]])/Table1346[[#This Row],[Price]]</f>
        <v>0.75607639825293527</v>
      </c>
      <c r="M97" s="4">
        <f ca="1">Table1346[[#This Row],[Column1]]*VALUE(SUBSTITUTE(LEFT(Table1346[[#This Row],[normal price/real milage]],3),",",""))</f>
        <v>0.52925347877705464</v>
      </c>
      <c r="N97" s="4"/>
    </row>
    <row r="98" spans="1:14" x14ac:dyDescent="0.25">
      <c r="A98" s="1">
        <v>45081</v>
      </c>
      <c r="B98">
        <v>107</v>
      </c>
      <c r="C98" s="5">
        <v>26995</v>
      </c>
      <c r="D98">
        <v>2019</v>
      </c>
      <c r="E98" t="s">
        <v>84</v>
      </c>
      <c r="F98" t="s">
        <v>1</v>
      </c>
      <c r="G98">
        <v>105000</v>
      </c>
      <c r="H98" s="4">
        <f>Table1346[[#This Row],[Price]]/Table1346[[#This Row],[Mileage]]</f>
        <v>0.2570952380952381</v>
      </c>
      <c r="I98" s="3">
        <f ca="1">Table1346[[#This Row],[Price]]/Table1346[[#This Row],[Age]]</f>
        <v>6748.75</v>
      </c>
      <c r="J98">
        <f ca="1">IF(YEAR(TODAY())=Table1346[[#This Row],[year]],0.8,YEAR(TODAY())-Table1346[[#This Row],[year]])</f>
        <v>4</v>
      </c>
      <c r="K9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0.733      -7,198</v>
      </c>
      <c r="L98" s="4">
        <f t="array" aca="1" ref="L98" ca="1">EXP(INDEX(LINEST(LN(Table1346[Price]),Table1346[Age]),1,2))*EXP(INDEX(LINEST(LN(Table1346[Price]),Table1346[Age]),1,1)*Table1346[[#This Row],[Age]])/Table1346[[#This Row],[Price]]</f>
        <v>0.78286717231697633</v>
      </c>
      <c r="M98" s="4">
        <f ca="1">Table1346[[#This Row],[Column1]]*VALUE(SUBSTITUTE(LEFT(Table1346[[#This Row],[normal price/real milage]],3),",",""))</f>
        <v>0.54800702062188344</v>
      </c>
      <c r="N98" s="4"/>
    </row>
    <row r="99" spans="1:14" x14ac:dyDescent="0.25">
      <c r="A99" s="1">
        <v>45081</v>
      </c>
      <c r="B99">
        <v>45</v>
      </c>
      <c r="C99" s="5">
        <v>16999</v>
      </c>
      <c r="D99">
        <v>2017</v>
      </c>
      <c r="E99" t="s">
        <v>84</v>
      </c>
      <c r="F99" t="s">
        <v>9</v>
      </c>
      <c r="G99">
        <v>300000</v>
      </c>
      <c r="H99" s="4">
        <f>Table1346[[#This Row],[Price]]/Table1346[[#This Row],[Mileage]]</f>
        <v>5.6663333333333336E-2</v>
      </c>
      <c r="I99" s="3">
        <f ca="1">Table1346[[#This Row],[Price]]/Table1346[[#This Row],[Age]]</f>
        <v>2833.1666666666665</v>
      </c>
      <c r="J99">
        <f ca="1">IF(YEAR(TODAY())=Table1346[[#This Row],[year]],0.8,YEAR(TODAY())-Table1346[[#This Row],[year]])</f>
        <v>6</v>
      </c>
      <c r="K9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0.307      -11,788</v>
      </c>
      <c r="L99" s="4">
        <f t="array" aca="1" ref="L99" ca="1">EXP(INDEX(LINEST(LN(Table1346[Price]),Table1346[Age]),1,2))*EXP(INDEX(LINEST(LN(Table1346[Price]),Table1346[Age]),1,1)*Table1346[[#This Row],[Age]])/Table1346[[#This Row],[Price]]</f>
        <v>1.0715471830546153</v>
      </c>
      <c r="M99" s="4">
        <f ca="1">Table1346[[#This Row],[Column1]]*VALUE(SUBSTITUTE(LEFT(Table1346[[#This Row],[normal price/real milage]],3),",",""))</f>
        <v>0.32146415491638458</v>
      </c>
      <c r="N99" s="4"/>
    </row>
    <row r="100" spans="1:14" x14ac:dyDescent="0.25">
      <c r="A100" s="1">
        <v>45081</v>
      </c>
      <c r="B100">
        <v>42</v>
      </c>
      <c r="C100" s="5">
        <v>27500</v>
      </c>
      <c r="D100">
        <v>2019</v>
      </c>
      <c r="E100" t="s">
        <v>84</v>
      </c>
      <c r="F100" t="s">
        <v>1</v>
      </c>
      <c r="G100">
        <v>89000</v>
      </c>
      <c r="H100" s="4">
        <f>Table1346[[#This Row],[Price]]/Table1346[[#This Row],[Mileage]]</f>
        <v>0.3089887640449438</v>
      </c>
      <c r="I100" s="3">
        <f ca="1">Table1346[[#This Row],[Price]]/Table1346[[#This Row],[Age]]</f>
        <v>6875</v>
      </c>
      <c r="J100">
        <f ca="1">IF(YEAR(TODAY())=Table1346[[#This Row],[year]],0.8,YEAR(TODAY())-Table1346[[#This Row],[year]])</f>
        <v>4</v>
      </c>
      <c r="K10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0.763      -6,507</v>
      </c>
      <c r="L100" s="4">
        <f t="array" aca="1" ref="L100" ca="1">EXP(INDEX(LINEST(LN(Table1346[Price]),Table1346[Age]),1,2))*EXP(INDEX(LINEST(LN(Table1346[Price]),Table1346[Age]),1,1)*Table1346[[#This Row],[Age]])/Table1346[[#This Row],[Price]]</f>
        <v>0.76849088424351908</v>
      </c>
      <c r="M100" s="4">
        <f ca="1">Table1346[[#This Row],[Column1]]*VALUE(SUBSTITUTE(LEFT(Table1346[[#This Row],[normal price/real milage]],3),",",""))</f>
        <v>0.53794361897046328</v>
      </c>
      <c r="N100" s="4"/>
    </row>
    <row r="101" spans="1:14" x14ac:dyDescent="0.25">
      <c r="A101" s="1">
        <v>45081</v>
      </c>
      <c r="B101">
        <v>109</v>
      </c>
      <c r="C101" s="5">
        <v>26200</v>
      </c>
      <c r="D101">
        <v>2017</v>
      </c>
      <c r="E101" t="s">
        <v>84</v>
      </c>
      <c r="F101" t="s">
        <v>7</v>
      </c>
      <c r="G101">
        <v>109000</v>
      </c>
      <c r="H101" s="4">
        <f>Table1346[[#This Row],[Price]]/Table1346[[#This Row],[Mileage]]</f>
        <v>0.24036697247706423</v>
      </c>
      <c r="I101" s="3">
        <f ca="1">Table1346[[#This Row],[Price]]/Table1346[[#This Row],[Age]]</f>
        <v>4366.666666666667</v>
      </c>
      <c r="J101">
        <f ca="1">IF(YEAR(TODAY())=Table1346[[#This Row],[year]],0.8,YEAR(TODAY())-Table1346[[#This Row],[year]])</f>
        <v>6</v>
      </c>
      <c r="K10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0.744      -6,703</v>
      </c>
      <c r="L101" s="4">
        <f t="array" aca="1" ref="L101" ca="1">EXP(INDEX(LINEST(LN(Table1346[Price]),Table1346[Age]),1,2))*EXP(INDEX(LINEST(LN(Table1346[Price]),Table1346[Age]),1,1)*Table1346[[#This Row],[Age]])/Table1346[[#This Row],[Price]]</f>
        <v>0.69523780781471012</v>
      </c>
      <c r="M101" s="4">
        <f ca="1">Table1346[[#This Row],[Column1]]*VALUE(SUBSTITUTE(LEFT(Table1346[[#This Row],[normal price/real milage]],3),",",""))</f>
        <v>0.48666646547029707</v>
      </c>
      <c r="N101" s="4"/>
    </row>
    <row r="102" spans="1:14" x14ac:dyDescent="0.25">
      <c r="A102" s="1">
        <v>45081</v>
      </c>
      <c r="B102">
        <v>30</v>
      </c>
      <c r="C102" s="5">
        <v>28300</v>
      </c>
      <c r="D102">
        <v>2019</v>
      </c>
      <c r="E102" t="s">
        <v>84</v>
      </c>
      <c r="F102" t="s">
        <v>18</v>
      </c>
      <c r="G102">
        <v>73000</v>
      </c>
      <c r="H102" s="4">
        <f>Table1346[[#This Row],[Price]]/Table1346[[#This Row],[Mileage]]</f>
        <v>0.38767123287671235</v>
      </c>
      <c r="I102" s="3">
        <f ca="1">Table1346[[#This Row],[Price]]/Table1346[[#This Row],[Age]]</f>
        <v>7075</v>
      </c>
      <c r="J102">
        <f ca="1">IF(YEAR(TODAY())=Table1346[[#This Row],[year]],0.8,YEAR(TODAY())-Table1346[[#This Row],[year]])</f>
        <v>4</v>
      </c>
      <c r="K10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0.784      -6,110</v>
      </c>
      <c r="L102" s="4">
        <f t="array" aca="1" ref="L102" ca="1">EXP(INDEX(LINEST(LN(Table1346[Price]),Table1346[Age]),1,2))*EXP(INDEX(LINEST(LN(Table1346[Price]),Table1346[Age]),1,1)*Table1346[[#This Row],[Age]])/Table1346[[#This Row],[Price]]</f>
        <v>0.7467667603073066</v>
      </c>
      <c r="M102" s="4">
        <f ca="1">Table1346[[#This Row],[Column1]]*VALUE(SUBSTITUTE(LEFT(Table1346[[#This Row],[normal price/real milage]],3),",",""))</f>
        <v>0.52273673221511463</v>
      </c>
      <c r="N102" s="4"/>
    </row>
    <row r="103" spans="1:14" x14ac:dyDescent="0.25">
      <c r="A103" s="1">
        <v>45081</v>
      </c>
      <c r="B103">
        <v>91</v>
      </c>
      <c r="C103" s="5">
        <v>27995</v>
      </c>
      <c r="D103">
        <v>2018</v>
      </c>
      <c r="E103" t="s">
        <v>84</v>
      </c>
      <c r="F103" t="s">
        <v>9</v>
      </c>
      <c r="G103">
        <v>97000</v>
      </c>
      <c r="H103" s="4">
        <f>Table1346[[#This Row],[Price]]/Table1346[[#This Row],[Mileage]]</f>
        <v>0.28860824742268043</v>
      </c>
      <c r="I103" s="3">
        <f ca="1">Table1346[[#This Row],[Price]]/Table1346[[#This Row],[Age]]</f>
        <v>5599</v>
      </c>
      <c r="J103">
        <f ca="1">IF(YEAR(TODAY())=Table1346[[#This Row],[year]],0.8,YEAR(TODAY())-Table1346[[#This Row],[year]])</f>
        <v>5</v>
      </c>
      <c r="K10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0.729      -7,600</v>
      </c>
      <c r="L103" s="4">
        <f t="array" aca="1" ref="L103" ca="1">EXP(INDEX(LINEST(LN(Table1346[Price]),Table1346[Age]),1,2))*EXP(INDEX(LINEST(LN(Table1346[Price]),Table1346[Age]),1,1)*Table1346[[#This Row],[Age]])/Table1346[[#This Row],[Price]]</f>
        <v>0.7008459558729655</v>
      </c>
      <c r="M103" s="4">
        <f ca="1">Table1346[[#This Row],[Column1]]*VALUE(SUBSTITUTE(LEFT(Table1346[[#This Row],[normal price/real milage]],3),",",""))</f>
        <v>0.49059216911107584</v>
      </c>
      <c r="N103" s="4"/>
    </row>
    <row r="104" spans="1:14" x14ac:dyDescent="0.25">
      <c r="A104" s="1">
        <v>45081</v>
      </c>
      <c r="B104">
        <v>14</v>
      </c>
      <c r="C104" s="5">
        <v>30000</v>
      </c>
      <c r="D104">
        <v>2020</v>
      </c>
      <c r="E104" t="s">
        <v>84</v>
      </c>
      <c r="F104" t="s">
        <v>9</v>
      </c>
      <c r="G104">
        <v>46000</v>
      </c>
      <c r="H104" s="4">
        <f>Table1346[[#This Row],[Price]]/Table1346[[#This Row],[Mileage]]</f>
        <v>0.65217391304347827</v>
      </c>
      <c r="I104" s="3">
        <f ca="1">Table1346[[#This Row],[Price]]/Table1346[[#This Row],[Age]]</f>
        <v>10000</v>
      </c>
      <c r="J104">
        <f ca="1">IF(YEAR(TODAY())=Table1346[[#This Row],[year]],0.8,YEAR(TODAY())-Table1346[[#This Row],[year]])</f>
        <v>3</v>
      </c>
      <c r="K10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0.807      -5,790</v>
      </c>
      <c r="L104" s="4">
        <f t="array" aca="1" ref="L104" ca="1">EXP(INDEX(LINEST(LN(Table1346[Price]),Table1346[Age]),1,2))*EXP(INDEX(LINEST(LN(Table1346[Price]),Table1346[Age]),1,1)*Table1346[[#This Row],[Age]])/Table1346[[#This Row],[Price]]</f>
        <v>0.75878463852167766</v>
      </c>
      <c r="M104" s="4">
        <f ca="1">Table1346[[#This Row],[Column1]]*VALUE(SUBSTITUTE(LEFT(Table1346[[#This Row],[normal price/real milage]],3),",",""))</f>
        <v>0.60702771081734219</v>
      </c>
      <c r="N104" s="4"/>
    </row>
    <row r="105" spans="1:14" x14ac:dyDescent="0.25">
      <c r="A105" s="1">
        <v>45081</v>
      </c>
      <c r="B105">
        <v>43</v>
      </c>
      <c r="C105" s="5">
        <v>29495</v>
      </c>
      <c r="D105">
        <v>2019</v>
      </c>
      <c r="E105" t="s">
        <v>84</v>
      </c>
      <c r="F105" t="s">
        <v>1</v>
      </c>
      <c r="G105">
        <v>67000</v>
      </c>
      <c r="H105" s="4">
        <f>Table1346[[#This Row],[Price]]/Table1346[[#This Row],[Mileage]]</f>
        <v>0.44022388059701495</v>
      </c>
      <c r="I105" s="3">
        <f ca="1">Table1346[[#This Row],[Price]]/Table1346[[#This Row],[Age]]</f>
        <v>7373.75</v>
      </c>
      <c r="J105">
        <f ca="1">IF(YEAR(TODAY())=Table1346[[#This Row],[year]],0.8,YEAR(TODAY())-Table1346[[#This Row],[year]])</f>
        <v>4</v>
      </c>
      <c r="K10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0.768      -6,856</v>
      </c>
      <c r="L105" s="4">
        <f t="array" aca="1" ref="L105" ca="1">EXP(INDEX(LINEST(LN(Table1346[Price]),Table1346[Age]),1,2))*EXP(INDEX(LINEST(LN(Table1346[Price]),Table1346[Age]),1,1)*Table1346[[#This Row],[Age]])/Table1346[[#This Row],[Price]]</f>
        <v>0.71651124993038739</v>
      </c>
      <c r="M105" s="4">
        <f ca="1">Table1346[[#This Row],[Column1]]*VALUE(SUBSTITUTE(LEFT(Table1346[[#This Row],[normal price/real milage]],3),",",""))</f>
        <v>0.50155787495127113</v>
      </c>
      <c r="N105" s="4"/>
    </row>
    <row r="106" spans="1:14" x14ac:dyDescent="0.25">
      <c r="A106" s="1">
        <v>45081</v>
      </c>
      <c r="B106">
        <v>63</v>
      </c>
      <c r="C106" s="5">
        <v>30499</v>
      </c>
      <c r="D106">
        <v>2020</v>
      </c>
      <c r="E106" t="s">
        <v>84</v>
      </c>
      <c r="F106" t="s">
        <v>91</v>
      </c>
      <c r="G106">
        <v>46000</v>
      </c>
      <c r="H106" s="4">
        <f>Table1346[[#This Row],[Price]]/Table1346[[#This Row],[Mileage]]</f>
        <v>0.66302173913043483</v>
      </c>
      <c r="I106" s="3">
        <f ca="1">Table1346[[#This Row],[Price]]/Table1346[[#This Row],[Age]]</f>
        <v>10166.333333333334</v>
      </c>
      <c r="J106">
        <f ca="1">IF(YEAR(TODAY())=Table1346[[#This Row],[year]],0.8,YEAR(TODAY())-Table1346[[#This Row],[year]])</f>
        <v>3</v>
      </c>
      <c r="K10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0.794      -6,289</v>
      </c>
      <c r="L106" s="4">
        <f t="array" aca="1" ref="L106" ca="1">EXP(INDEX(LINEST(LN(Table1346[Price]),Table1346[Age]),1,2))*EXP(INDEX(LINEST(LN(Table1346[Price]),Table1346[Age]),1,1)*Table1346[[#This Row],[Age]])/Table1346[[#This Row],[Price]]</f>
        <v>0.74637001723500218</v>
      </c>
      <c r="M106" s="4">
        <f ca="1">Table1346[[#This Row],[Column1]]*VALUE(SUBSTITUTE(LEFT(Table1346[[#This Row],[normal price/real milage]],3),",",""))</f>
        <v>0.52245901206450152</v>
      </c>
      <c r="N106" s="4"/>
    </row>
    <row r="107" spans="1:14" x14ac:dyDescent="0.25">
      <c r="A107" s="1">
        <v>45081</v>
      </c>
      <c r="B107">
        <v>76</v>
      </c>
      <c r="C107" s="5">
        <v>27999</v>
      </c>
      <c r="D107">
        <v>2017</v>
      </c>
      <c r="E107" t="s">
        <v>84</v>
      </c>
      <c r="F107" t="s">
        <v>1</v>
      </c>
      <c r="G107">
        <v>86000</v>
      </c>
      <c r="H107" s="4">
        <f>Table1346[[#This Row],[Price]]/Table1346[[#This Row],[Mileage]]</f>
        <v>0.32556976744186045</v>
      </c>
      <c r="I107" s="3">
        <f ca="1">Table1346[[#This Row],[Price]]/Table1346[[#This Row],[Age]]</f>
        <v>4666.5</v>
      </c>
      <c r="J107">
        <f ca="1">IF(YEAR(TODAY())=Table1346[[#This Row],[year]],0.8,YEAR(TODAY())-Table1346[[#This Row],[year]])</f>
        <v>6</v>
      </c>
      <c r="K10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0.758      -6,781</v>
      </c>
      <c r="L107" s="4">
        <f t="array" aca="1" ref="L107" ca="1">EXP(INDEX(LINEST(LN(Table1346[Price]),Table1346[Age]),1,2))*EXP(INDEX(LINEST(LN(Table1346[Price]),Table1346[Age]),1,1)*Table1346[[#This Row],[Age]])/Table1346[[#This Row],[Price]]</f>
        <v>0.65056718328316743</v>
      </c>
      <c r="M107" s="4">
        <f ca="1">Table1346[[#This Row],[Column1]]*VALUE(SUBSTITUTE(LEFT(Table1346[[#This Row],[normal price/real milage]],3),",",""))</f>
        <v>0.45539702829821715</v>
      </c>
      <c r="N107" s="4"/>
    </row>
    <row r="108" spans="1:14" x14ac:dyDescent="0.25">
      <c r="A108" s="1">
        <v>45081</v>
      </c>
      <c r="B108">
        <v>6</v>
      </c>
      <c r="C108" s="5">
        <v>30000</v>
      </c>
      <c r="D108">
        <v>2019</v>
      </c>
      <c r="E108" t="s">
        <v>84</v>
      </c>
      <c r="F108" t="s">
        <v>2</v>
      </c>
      <c r="G108">
        <v>75000</v>
      </c>
      <c r="H108" s="4">
        <f>Table1346[[#This Row],[Price]]/Table1346[[#This Row],[Mileage]]</f>
        <v>0.4</v>
      </c>
      <c r="I108" s="3">
        <f ca="1">Table1346[[#This Row],[Price]]/Table1346[[#This Row],[Age]]</f>
        <v>7500</v>
      </c>
      <c r="J108">
        <f ca="1">IF(YEAR(TODAY())=Table1346[[#This Row],[year]],0.8,YEAR(TODAY())-Table1346[[#This Row],[year]])</f>
        <v>4</v>
      </c>
      <c r="K10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0.735      -7,959</v>
      </c>
      <c r="L108" s="4">
        <f t="array" aca="1" ref="L108" ca="1">EXP(INDEX(LINEST(LN(Table1346[Price]),Table1346[Age]),1,2))*EXP(INDEX(LINEST(LN(Table1346[Price]),Table1346[Age]),1,1)*Table1346[[#This Row],[Age]])/Table1346[[#This Row],[Price]]</f>
        <v>0.70444997722322589</v>
      </c>
      <c r="M108" s="4">
        <f ca="1">Table1346[[#This Row],[Column1]]*VALUE(SUBSTITUTE(LEFT(Table1346[[#This Row],[normal price/real milage]],3),",",""))</f>
        <v>0.49311498405625809</v>
      </c>
      <c r="N108" s="4"/>
    </row>
    <row r="109" spans="1:14" x14ac:dyDescent="0.25">
      <c r="A109" s="1">
        <v>45081</v>
      </c>
      <c r="B109">
        <v>120</v>
      </c>
      <c r="C109" s="5">
        <v>30495</v>
      </c>
      <c r="D109">
        <v>2019</v>
      </c>
      <c r="E109" t="s">
        <v>84</v>
      </c>
      <c r="F109" t="s">
        <v>1</v>
      </c>
      <c r="G109">
        <v>55000</v>
      </c>
      <c r="H109" s="4">
        <f>Table1346[[#This Row],[Price]]/Table1346[[#This Row],[Mileage]]</f>
        <v>0.55445454545454542</v>
      </c>
      <c r="I109" s="3">
        <f ca="1">Table1346[[#This Row],[Price]]/Table1346[[#This Row],[Age]]</f>
        <v>7623.75</v>
      </c>
      <c r="J109">
        <f ca="1">IF(YEAR(TODAY())=Table1346[[#This Row],[year]],0.8,YEAR(TODAY())-Table1346[[#This Row],[year]])</f>
        <v>4</v>
      </c>
      <c r="K10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0.772      -6,958</v>
      </c>
      <c r="L109" s="4">
        <f t="array" aca="1" ref="L109" ca="1">EXP(INDEX(LINEST(LN(Table1346[Price]),Table1346[Age]),1,2))*EXP(INDEX(LINEST(LN(Table1346[Price]),Table1346[Age]),1,1)*Table1346[[#This Row],[Age]])/Table1346[[#This Row],[Price]]</f>
        <v>0.69301522599431964</v>
      </c>
      <c r="M109" s="4">
        <f ca="1">Table1346[[#This Row],[Column1]]*VALUE(SUBSTITUTE(LEFT(Table1346[[#This Row],[normal price/real milage]],3),",",""))</f>
        <v>0.48511065819602373</v>
      </c>
      <c r="N109" s="4"/>
    </row>
    <row r="110" spans="1:14" x14ac:dyDescent="0.25">
      <c r="A110" s="1">
        <v>45081</v>
      </c>
      <c r="B110">
        <v>51</v>
      </c>
      <c r="C110" s="5">
        <v>29888</v>
      </c>
      <c r="D110">
        <v>2018</v>
      </c>
      <c r="E110" t="s">
        <v>84</v>
      </c>
      <c r="F110" t="s">
        <v>9</v>
      </c>
      <c r="G110">
        <v>72000</v>
      </c>
      <c r="H110" s="4">
        <f>Table1346[[#This Row],[Price]]/Table1346[[#This Row],[Mileage]]</f>
        <v>0.4151111111111111</v>
      </c>
      <c r="I110" s="3">
        <f ca="1">Table1346[[#This Row],[Price]]/Table1346[[#This Row],[Age]]</f>
        <v>5977.6</v>
      </c>
      <c r="J110">
        <f ca="1">IF(YEAR(TODAY())=Table1346[[#This Row],[year]],0.8,YEAR(TODAY())-Table1346[[#This Row],[year]])</f>
        <v>5</v>
      </c>
      <c r="K11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0.745      -7,623</v>
      </c>
      <c r="L110" s="4">
        <f t="array" aca="1" ref="L110" ca="1">EXP(INDEX(LINEST(LN(Table1346[Price]),Table1346[Age]),1,2))*EXP(INDEX(LINEST(LN(Table1346[Price]),Table1346[Age]),1,1)*Table1346[[#This Row],[Age]])/Table1346[[#This Row],[Price]]</f>
        <v>0.65645685675400389</v>
      </c>
      <c r="M110" s="4">
        <f ca="1">Table1346[[#This Row],[Column1]]*VALUE(SUBSTITUTE(LEFT(Table1346[[#This Row],[normal price/real milage]],3),",",""))</f>
        <v>0.45951979972780271</v>
      </c>
      <c r="N110" s="4"/>
    </row>
    <row r="111" spans="1:14" x14ac:dyDescent="0.25">
      <c r="A111" s="1">
        <v>45081</v>
      </c>
      <c r="B111">
        <v>56</v>
      </c>
      <c r="C111" s="5">
        <v>29888</v>
      </c>
      <c r="D111">
        <v>2018</v>
      </c>
      <c r="E111" t="s">
        <v>84</v>
      </c>
      <c r="F111" t="s">
        <v>9</v>
      </c>
      <c r="G111">
        <v>72000</v>
      </c>
      <c r="H111" s="4">
        <f>Table1346[[#This Row],[Price]]/Table1346[[#This Row],[Mileage]]</f>
        <v>0.4151111111111111</v>
      </c>
      <c r="I111" s="3">
        <f ca="1">Table1346[[#This Row],[Price]]/Table1346[[#This Row],[Age]]</f>
        <v>5977.6</v>
      </c>
      <c r="J111">
        <f ca="1">IF(YEAR(TODAY())=Table1346[[#This Row],[year]],0.8,YEAR(TODAY())-Table1346[[#This Row],[year]])</f>
        <v>5</v>
      </c>
      <c r="K11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0.745      -7,623</v>
      </c>
      <c r="L111" s="4">
        <f t="array" aca="1" ref="L111" ca="1">EXP(INDEX(LINEST(LN(Table1346[Price]),Table1346[Age]),1,2))*EXP(INDEX(LINEST(LN(Table1346[Price]),Table1346[Age]),1,1)*Table1346[[#This Row],[Age]])/Table1346[[#This Row],[Price]]</f>
        <v>0.65645685675400389</v>
      </c>
      <c r="M111" s="4">
        <f ca="1">Table1346[[#This Row],[Column1]]*VALUE(SUBSTITUTE(LEFT(Table1346[[#This Row],[normal price/real milage]],3),",",""))</f>
        <v>0.45951979972780271</v>
      </c>
      <c r="N111" s="4"/>
    </row>
    <row r="112" spans="1:14" x14ac:dyDescent="0.25">
      <c r="A112" s="1">
        <v>45081</v>
      </c>
      <c r="B112">
        <v>65</v>
      </c>
      <c r="C112" s="5">
        <v>29999</v>
      </c>
      <c r="D112">
        <v>2018</v>
      </c>
      <c r="E112" t="s">
        <v>84</v>
      </c>
      <c r="F112" t="s">
        <v>9</v>
      </c>
      <c r="G112">
        <v>72000</v>
      </c>
      <c r="H112" s="4">
        <f>Table1346[[#This Row],[Price]]/Table1346[[#This Row],[Mileage]]</f>
        <v>0.41665277777777776</v>
      </c>
      <c r="I112" s="3">
        <f ca="1">Table1346[[#This Row],[Price]]/Table1346[[#This Row],[Age]]</f>
        <v>5999.8</v>
      </c>
      <c r="J112">
        <f ca="1">IF(YEAR(TODAY())=Table1346[[#This Row],[year]],0.8,YEAR(TODAY())-Table1346[[#This Row],[year]])</f>
        <v>5</v>
      </c>
      <c r="K11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0.742      -7,734</v>
      </c>
      <c r="L112" s="4">
        <f t="array" aca="1" ref="L112" ca="1">EXP(INDEX(LINEST(LN(Table1346[Price]),Table1346[Age]),1,2))*EXP(INDEX(LINEST(LN(Table1346[Price]),Table1346[Age]),1,1)*Table1346[[#This Row],[Age]])/Table1346[[#This Row],[Price]]</f>
        <v>0.65402788541830292</v>
      </c>
      <c r="M112" s="4">
        <f ca="1">Table1346[[#This Row],[Column1]]*VALUE(SUBSTITUTE(LEFT(Table1346[[#This Row],[normal price/real milage]],3),",",""))</f>
        <v>0.45781951979281199</v>
      </c>
      <c r="N112" s="4"/>
    </row>
    <row r="113" spans="1:14" x14ac:dyDescent="0.25">
      <c r="A113" s="1">
        <v>45081</v>
      </c>
      <c r="B113">
        <v>111</v>
      </c>
      <c r="C113" s="5">
        <v>30988</v>
      </c>
      <c r="D113">
        <v>2019</v>
      </c>
      <c r="E113" t="s">
        <v>99</v>
      </c>
      <c r="F113" t="s">
        <v>9</v>
      </c>
      <c r="G113">
        <v>43000</v>
      </c>
      <c r="H113" s="4">
        <f>Table1346[[#This Row],[Price]]/Table1346[[#This Row],[Mileage]]</f>
        <v>0.72065116279069763</v>
      </c>
      <c r="I113" s="3">
        <f ca="1">Table1346[[#This Row],[Price]]/Table1346[[#This Row],[Age]]</f>
        <v>7747</v>
      </c>
      <c r="J113">
        <f ca="1">IF(YEAR(TODAY())=Table1346[[#This Row],[year]],0.8,YEAR(TODAY())-Table1346[[#This Row],[year]])</f>
        <v>4</v>
      </c>
      <c r="K11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0.789      -6,554</v>
      </c>
      <c r="L113" s="4">
        <f t="array" aca="1" ref="L113" ca="1">EXP(INDEX(LINEST(LN(Table1346[Price]),Table1346[Age]),1,2))*EXP(INDEX(LINEST(LN(Table1346[Price]),Table1346[Age]),1,1)*Table1346[[#This Row],[Age]])/Table1346[[#This Row],[Price]]</f>
        <v>0.68198978045362002</v>
      </c>
      <c r="M113" s="4">
        <f ca="1">Table1346[[#This Row],[Column1]]*VALUE(SUBSTITUTE(LEFT(Table1346[[#This Row],[normal price/real milage]],3),",",""))</f>
        <v>0.47739284631753398</v>
      </c>
      <c r="N113" s="4"/>
    </row>
    <row r="114" spans="1:14" x14ac:dyDescent="0.25">
      <c r="A114" s="1">
        <v>45081</v>
      </c>
      <c r="B114">
        <v>118</v>
      </c>
      <c r="C114" s="5">
        <v>26999</v>
      </c>
      <c r="D114">
        <v>2020</v>
      </c>
      <c r="E114" t="s">
        <v>84</v>
      </c>
      <c r="F114" t="s">
        <v>1</v>
      </c>
      <c r="G114">
        <v>185000</v>
      </c>
      <c r="H114" s="4">
        <f>Table1346[[#This Row],[Price]]/Table1346[[#This Row],[Mileage]]</f>
        <v>0.14594054054054054</v>
      </c>
      <c r="I114" s="3">
        <f ca="1">Table1346[[#This Row],[Price]]/Table1346[[#This Row],[Age]]</f>
        <v>8999.6666666666661</v>
      </c>
      <c r="J114">
        <f ca="1">IF(YEAR(TODAY())=Table1346[[#This Row],[year]],0.8,YEAR(TODAY())-Table1346[[#This Row],[year]])</f>
        <v>3</v>
      </c>
      <c r="K11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0.512      -13,186</v>
      </c>
      <c r="L114" s="4">
        <f t="array" aca="1" ref="L114" ca="1">EXP(INDEX(LINEST(LN(Table1346[Price]),Table1346[Age]),1,2))*EXP(INDEX(LINEST(LN(Table1346[Price]),Table1346[Age]),1,1)*Table1346[[#This Row],[Age]])/Table1346[[#This Row],[Price]]</f>
        <v>0.84312526966370349</v>
      </c>
      <c r="M114" s="4">
        <f ca="1">Table1346[[#This Row],[Column1]]*VALUE(SUBSTITUTE(LEFT(Table1346[[#This Row],[normal price/real milage]],3),",",""))</f>
        <v>0.42156263483185175</v>
      </c>
      <c r="N114" s="4"/>
    </row>
    <row r="115" spans="1:14" x14ac:dyDescent="0.25">
      <c r="A115" s="1">
        <v>45081</v>
      </c>
      <c r="B115">
        <v>24</v>
      </c>
      <c r="C115" s="5">
        <v>31950</v>
      </c>
      <c r="D115">
        <v>2019</v>
      </c>
      <c r="E115" t="s">
        <v>84</v>
      </c>
      <c r="F115" t="s">
        <v>1</v>
      </c>
      <c r="G115">
        <v>68000</v>
      </c>
      <c r="H115" s="4">
        <f>Table1346[[#This Row],[Price]]/Table1346[[#This Row],[Mileage]]</f>
        <v>0.46985294117647058</v>
      </c>
      <c r="I115" s="3">
        <f ca="1">Table1346[[#This Row],[Price]]/Table1346[[#This Row],[Age]]</f>
        <v>7987.5</v>
      </c>
      <c r="J115">
        <f ca="1">IF(YEAR(TODAY())=Table1346[[#This Row],[year]],0.8,YEAR(TODAY())-Table1346[[#This Row],[year]])</f>
        <v>4</v>
      </c>
      <c r="K11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0.706      -9,386</v>
      </c>
      <c r="L115" s="4">
        <f t="array" aca="1" ref="L115" ca="1">EXP(INDEX(LINEST(LN(Table1346[Price]),Table1346[Age]),1,2))*EXP(INDEX(LINEST(LN(Table1346[Price]),Table1346[Age]),1,1)*Table1346[[#This Row],[Age]])/Table1346[[#This Row],[Price]]</f>
        <v>0.66145537767439044</v>
      </c>
      <c r="M115" s="4">
        <f ca="1">Table1346[[#This Row],[Column1]]*VALUE(SUBSTITUTE(LEFT(Table1346[[#This Row],[normal price/real milage]],3),",",""))</f>
        <v>0.46301876437207329</v>
      </c>
      <c r="N115" s="4"/>
    </row>
    <row r="116" spans="1:14" x14ac:dyDescent="0.25">
      <c r="A116" s="1">
        <v>45081</v>
      </c>
      <c r="B116">
        <v>73</v>
      </c>
      <c r="C116" s="5">
        <v>34999</v>
      </c>
      <c r="D116">
        <v>2022</v>
      </c>
      <c r="E116" t="s">
        <v>84</v>
      </c>
      <c r="F116" t="s">
        <v>91</v>
      </c>
      <c r="G116">
        <v>34000</v>
      </c>
      <c r="H116" s="4">
        <f>Table1346[[#This Row],[Price]]/Table1346[[#This Row],[Mileage]]</f>
        <v>1.0293823529411765</v>
      </c>
      <c r="I116" s="3">
        <f ca="1">Table1346[[#This Row],[Price]]/Table1346[[#This Row],[Age]]</f>
        <v>34999</v>
      </c>
      <c r="J116">
        <f ca="1">IF(YEAR(TODAY())=Table1346[[#This Row],[year]],0.8,YEAR(TODAY())-Table1346[[#This Row],[year]])</f>
        <v>1</v>
      </c>
      <c r="K11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0.717      -9,892</v>
      </c>
      <c r="L116" s="4">
        <f t="array" aca="1" ref="L116" ca="1">EXP(INDEX(LINEST(LN(Table1346[Price]),Table1346[Age]),1,2))*EXP(INDEX(LINEST(LN(Table1346[Price]),Table1346[Age]),1,1)*Table1346[[#This Row],[Age]])/Table1346[[#This Row],[Price]]</f>
        <v>0.75460710565251565</v>
      </c>
      <c r="M116" s="4">
        <f ca="1">Table1346[[#This Row],[Column1]]*VALUE(SUBSTITUTE(LEFT(Table1346[[#This Row],[normal price/real milage]],3),",",""))</f>
        <v>0.52822497395676093</v>
      </c>
      <c r="N116" s="4"/>
    </row>
    <row r="117" spans="1:14" x14ac:dyDescent="0.25">
      <c r="A117" s="1">
        <v>45081</v>
      </c>
      <c r="B117">
        <v>84</v>
      </c>
      <c r="C117" s="5">
        <v>33995</v>
      </c>
      <c r="D117">
        <v>2021</v>
      </c>
      <c r="E117" t="s">
        <v>94</v>
      </c>
      <c r="F117" t="s">
        <v>59</v>
      </c>
      <c r="G117">
        <v>16000</v>
      </c>
      <c r="H117" s="4">
        <f>Table1346[[#This Row],[Price]]/Table1346[[#This Row],[Mileage]]</f>
        <v>2.1246874999999998</v>
      </c>
      <c r="I117" s="3">
        <f ca="1">Table1346[[#This Row],[Price]]/Table1346[[#This Row],[Age]]</f>
        <v>16997.5</v>
      </c>
      <c r="J117">
        <f ca="1">IF(YEAR(TODAY())=Table1346[[#This Row],[year]],0.8,YEAR(TODAY())-Table1346[[#This Row],[year]])</f>
        <v>2</v>
      </c>
      <c r="K11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0.778      -7,541</v>
      </c>
      <c r="L117" s="4">
        <f t="array" aca="1" ref="L117" ca="1">EXP(INDEX(LINEST(LN(Table1346[Price]),Table1346[Age]),1,2))*EXP(INDEX(LINEST(LN(Table1346[Price]),Table1346[Age]),1,1)*Table1346[[#This Row],[Age]])/Table1346[[#This Row],[Price]]</f>
        <v>0.72126209657031171</v>
      </c>
      <c r="M117" s="4">
        <f ca="1">Table1346[[#This Row],[Column1]]*VALUE(SUBSTITUTE(LEFT(Table1346[[#This Row],[normal price/real milage]],3),",",""))</f>
        <v>0.50488346759921821</v>
      </c>
      <c r="N117" s="4"/>
    </row>
    <row r="118" spans="1:14" x14ac:dyDescent="0.25">
      <c r="A118" s="1">
        <v>45081</v>
      </c>
      <c r="B118">
        <v>31</v>
      </c>
      <c r="C118" s="5">
        <v>34500</v>
      </c>
      <c r="D118">
        <v>2021</v>
      </c>
      <c r="E118" t="s">
        <v>84</v>
      </c>
      <c r="F118" t="s">
        <v>3</v>
      </c>
      <c r="G118">
        <v>9000</v>
      </c>
      <c r="H118" s="4">
        <f>Table1346[[#This Row],[Price]]/Table1346[[#This Row],[Mileage]]</f>
        <v>3.8333333333333335</v>
      </c>
      <c r="I118" s="3">
        <f ca="1">Table1346[[#This Row],[Price]]/Table1346[[#This Row],[Age]]</f>
        <v>17250</v>
      </c>
      <c r="J118">
        <f ca="1">IF(YEAR(TODAY())=Table1346[[#This Row],[year]],0.8,YEAR(TODAY())-Table1346[[#This Row],[year]])</f>
        <v>2</v>
      </c>
      <c r="K11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0.782      -7,523</v>
      </c>
      <c r="L118" s="4">
        <f t="array" aca="1" ref="L118" ca="1">EXP(INDEX(LINEST(LN(Table1346[Price]),Table1346[Age]),1,2))*EXP(INDEX(LINEST(LN(Table1346[Price]),Table1346[Age]),1,1)*Table1346[[#This Row],[Age]])/Table1346[[#This Row],[Price]]</f>
        <v>0.71070449196834051</v>
      </c>
      <c r="M118" s="4">
        <f ca="1">Table1346[[#This Row],[Column1]]*VALUE(SUBSTITUTE(LEFT(Table1346[[#This Row],[normal price/real milage]],3),",",""))</f>
        <v>0.49749314437783831</v>
      </c>
      <c r="N118" s="4"/>
    </row>
    <row r="119" spans="1:14" x14ac:dyDescent="0.25">
      <c r="A119" s="1">
        <v>45081</v>
      </c>
      <c r="B119">
        <v>95</v>
      </c>
      <c r="C119" s="5">
        <v>33990</v>
      </c>
      <c r="D119">
        <v>2020</v>
      </c>
      <c r="E119" t="s">
        <v>96</v>
      </c>
      <c r="F119" t="s">
        <v>59</v>
      </c>
      <c r="G119">
        <v>27000</v>
      </c>
      <c r="H119" s="4">
        <f>Table1346[[#This Row],[Price]]/Table1346[[#This Row],[Mileage]]</f>
        <v>1.2588888888888889</v>
      </c>
      <c r="I119" s="3">
        <f ca="1">Table1346[[#This Row],[Price]]/Table1346[[#This Row],[Age]]</f>
        <v>11330</v>
      </c>
      <c r="J119">
        <f ca="1">IF(YEAR(TODAY())=Table1346[[#This Row],[year]],0.8,YEAR(TODAY())-Table1346[[#This Row],[year]])</f>
        <v>3</v>
      </c>
      <c r="K11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0.754      -8,359</v>
      </c>
      <c r="L119" s="4">
        <f t="array" aca="1" ref="L119" ca="1">EXP(INDEX(LINEST(LN(Table1346[Price]),Table1346[Age]),1,2))*EXP(INDEX(LINEST(LN(Table1346[Price]),Table1346[Age]),1,1)*Table1346[[#This Row],[Age]])/Table1346[[#This Row],[Price]]</f>
        <v>0.66971283188144548</v>
      </c>
      <c r="M119" s="4">
        <f ca="1">Table1346[[#This Row],[Column1]]*VALUE(SUBSTITUTE(LEFT(Table1346[[#This Row],[normal price/real milage]],3),",",""))</f>
        <v>0.46879898231701178</v>
      </c>
      <c r="N119" s="4"/>
    </row>
    <row r="120" spans="1:14" x14ac:dyDescent="0.25">
      <c r="A120" s="1">
        <v>45081</v>
      </c>
      <c r="B120">
        <v>112</v>
      </c>
      <c r="C120" s="5">
        <v>35000</v>
      </c>
      <c r="D120">
        <v>2019</v>
      </c>
      <c r="E120" t="s">
        <v>100</v>
      </c>
      <c r="F120" t="s">
        <v>1</v>
      </c>
      <c r="G120">
        <v>39000</v>
      </c>
      <c r="H120" s="4">
        <f>Table1346[[#This Row],[Price]]/Table1346[[#This Row],[Mileage]]</f>
        <v>0.89743589743589747</v>
      </c>
      <c r="I120" s="3">
        <f ca="1">Table1346[[#This Row],[Price]]/Table1346[[#This Row],[Age]]</f>
        <v>8750</v>
      </c>
      <c r="J120">
        <f ca="1">IF(YEAR(TODAY())=Table1346[[#This Row],[year]],0.8,YEAR(TODAY())-Table1346[[#This Row],[year]])</f>
        <v>4</v>
      </c>
      <c r="K12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0.707      -10,267</v>
      </c>
      <c r="L120" s="4">
        <f t="array" aca="1" ref="L120" ca="1">EXP(INDEX(LINEST(LN(Table1346[Price]),Table1346[Age]),1,2))*EXP(INDEX(LINEST(LN(Table1346[Price]),Table1346[Age]),1,1)*Table1346[[#This Row],[Age]])/Table1346[[#This Row],[Price]]</f>
        <v>0.60381426619133649</v>
      </c>
      <c r="M120" s="4">
        <f ca="1">Table1346[[#This Row],[Column1]]*VALUE(SUBSTITUTE(LEFT(Table1346[[#This Row],[normal price/real milage]],3),",",""))</f>
        <v>0.42266998633393554</v>
      </c>
      <c r="N120" s="4"/>
    </row>
    <row r="121" spans="1:14" x14ac:dyDescent="0.25">
      <c r="A121" s="1">
        <v>45081</v>
      </c>
      <c r="B121">
        <v>90</v>
      </c>
      <c r="C121" s="5">
        <v>34499</v>
      </c>
      <c r="D121">
        <v>2021</v>
      </c>
      <c r="E121" t="s">
        <v>84</v>
      </c>
      <c r="F121" t="s">
        <v>1</v>
      </c>
      <c r="G121">
        <v>60000</v>
      </c>
      <c r="H121" s="4">
        <f>Table1346[[#This Row],[Price]]/Table1346[[#This Row],[Mileage]]</f>
        <v>0.57498333333333329</v>
      </c>
      <c r="I121" s="3">
        <f ca="1">Table1346[[#This Row],[Price]]/Table1346[[#This Row],[Age]]</f>
        <v>17249.5</v>
      </c>
      <c r="J121">
        <f ca="1">IF(YEAR(TODAY())=Table1346[[#This Row],[year]],0.8,YEAR(TODAY())-Table1346[[#This Row],[year]])</f>
        <v>2</v>
      </c>
      <c r="K12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0.671      -11,336</v>
      </c>
      <c r="L121" s="4">
        <f t="array" aca="1" ref="L121" ca="1">EXP(INDEX(LINEST(LN(Table1346[Price]),Table1346[Age]),1,2))*EXP(INDEX(LINEST(LN(Table1346[Price]),Table1346[Age]),1,1)*Table1346[[#This Row],[Age]])/Table1346[[#This Row],[Price]]</f>
        <v>0.71072509269566497</v>
      </c>
      <c r="M121" s="4">
        <f ca="1">Table1346[[#This Row],[Column1]]*VALUE(SUBSTITUTE(LEFT(Table1346[[#This Row],[normal price/real milage]],3),",",""))</f>
        <v>0.42643505561739897</v>
      </c>
      <c r="N121" s="4"/>
    </row>
    <row r="122" spans="1:14" x14ac:dyDescent="0.25">
      <c r="A122" s="1">
        <v>45081</v>
      </c>
      <c r="B122">
        <v>25</v>
      </c>
      <c r="C122" s="5">
        <v>34950</v>
      </c>
      <c r="D122">
        <v>2019</v>
      </c>
      <c r="E122" t="s">
        <v>88</v>
      </c>
      <c r="F122" t="s">
        <v>1</v>
      </c>
      <c r="G122">
        <v>60000</v>
      </c>
      <c r="H122" s="4">
        <f>Table1346[[#This Row],[Price]]/Table1346[[#This Row],[Mileage]]</f>
        <v>0.58250000000000002</v>
      </c>
      <c r="I122" s="3">
        <f ca="1">Table1346[[#This Row],[Price]]/Table1346[[#This Row],[Age]]</f>
        <v>8737.5</v>
      </c>
      <c r="J122">
        <f ca="1">IF(YEAR(TODAY())=Table1346[[#This Row],[year]],0.8,YEAR(TODAY())-Table1346[[#This Row],[year]])</f>
        <v>4</v>
      </c>
      <c r="K12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0.663      -11,787</v>
      </c>
      <c r="L122" s="4">
        <f t="array" aca="1" ref="L122" ca="1">EXP(INDEX(LINEST(LN(Table1346[Price]),Table1346[Age]),1,2))*EXP(INDEX(LINEST(LN(Table1346[Price]),Table1346[Age]),1,1)*Table1346[[#This Row],[Age]])/Table1346[[#This Row],[Price]]</f>
        <v>0.60467809203710376</v>
      </c>
      <c r="M122" s="4">
        <f ca="1">Table1346[[#This Row],[Column1]]*VALUE(SUBSTITUTE(LEFT(Table1346[[#This Row],[normal price/real milage]],3),",",""))</f>
        <v>0.36280685522226225</v>
      </c>
      <c r="N122" s="4"/>
    </row>
    <row r="123" spans="1:14" x14ac:dyDescent="0.25">
      <c r="A123" s="1">
        <v>45081</v>
      </c>
      <c r="B123">
        <v>66</v>
      </c>
      <c r="C123" s="5">
        <v>40800</v>
      </c>
      <c r="D123">
        <v>2021</v>
      </c>
      <c r="E123" t="s">
        <v>84</v>
      </c>
      <c r="F123" t="s">
        <v>93</v>
      </c>
      <c r="G123">
        <v>14000</v>
      </c>
      <c r="H123" s="4">
        <f>Table1346[[#This Row],[Price]]/Table1346[[#This Row],[Mileage]]</f>
        <v>2.9142857142857141</v>
      </c>
      <c r="I123" s="3">
        <f ca="1">Table1346[[#This Row],[Price]]/Table1346[[#This Row],[Age]]</f>
        <v>20400</v>
      </c>
      <c r="J123">
        <f ca="1">IF(YEAR(TODAY())=Table1346[[#This Row],[year]],0.8,YEAR(TODAY())-Table1346[[#This Row],[year]])</f>
        <v>2</v>
      </c>
      <c r="K12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0.652      -14,197</v>
      </c>
      <c r="L123" s="4">
        <f t="array" aca="1" ref="L123" ca="1">EXP(INDEX(LINEST(LN(Table1346[Price]),Table1346[Age]),1,2))*EXP(INDEX(LINEST(LN(Table1346[Price]),Table1346[Age]),1,1)*Table1346[[#This Row],[Age]])/Table1346[[#This Row],[Price]]</f>
        <v>0.60096335717911142</v>
      </c>
      <c r="M123" s="4">
        <f ca="1">Table1346[[#This Row],[Column1]]*VALUE(SUBSTITUTE(LEFT(Table1346[[#This Row],[normal price/real milage]],3),",",""))</f>
        <v>0.36057801430746683</v>
      </c>
      <c r="N123" s="4"/>
    </row>
    <row r="124" spans="1:14" x14ac:dyDescent="0.25">
      <c r="N124" s="4"/>
    </row>
    <row r="125" spans="1:14" x14ac:dyDescent="0.25">
      <c r="N125" s="4"/>
    </row>
    <row r="126" spans="1:14" x14ac:dyDescent="0.25">
      <c r="N126" s="4"/>
    </row>
    <row r="127" spans="1:14" x14ac:dyDescent="0.25">
      <c r="N127" s="4"/>
    </row>
    <row r="128" spans="1:14" x14ac:dyDescent="0.25">
      <c r="N128" s="4"/>
    </row>
    <row r="129" spans="14:14" x14ac:dyDescent="0.25">
      <c r="N129" s="4"/>
    </row>
  </sheetData>
  <conditionalFormatting sqref="L2:L123">
    <cfRule type="expression" dxfId="23" priority="4">
      <formula>$L2&lt;1</formula>
    </cfRule>
  </conditionalFormatting>
  <conditionalFormatting sqref="K2:K123">
    <cfRule type="expression" dxfId="22" priority="3">
      <formula>$K2&lt;1</formula>
    </cfRule>
  </conditionalFormatting>
  <conditionalFormatting sqref="H2:I123">
    <cfRule type="expression" dxfId="21" priority="2">
      <formula>isoutlier(H$2:H129,H2)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D9FF-0A08-4F6C-B33E-C3A6CE2C1FA3}">
  <sheetPr codeName="Sheet7"/>
  <dimension ref="A1:T137"/>
  <sheetViews>
    <sheetView zoomScale="85" zoomScaleNormal="85" workbookViewId="0">
      <selection activeCell="G14" sqref="G14"/>
    </sheetView>
  </sheetViews>
  <sheetFormatPr defaultRowHeight="15" x14ac:dyDescent="0.25"/>
  <cols>
    <col min="1" max="1" width="9.7109375" bestFit="1" customWidth="1"/>
    <col min="2" max="2" width="5.140625" bestFit="1" customWidth="1"/>
    <col min="3" max="3" width="8" customWidth="1"/>
    <col min="4" max="4" width="7.140625" bestFit="1" customWidth="1"/>
    <col min="5" max="5" width="28.85546875" customWidth="1"/>
    <col min="6" max="6" width="22.5703125" customWidth="1"/>
    <col min="7" max="7" width="10.5703125" bestFit="1" customWidth="1"/>
    <col min="8" max="8" width="15.85546875" customWidth="1"/>
    <col min="9" max="9" width="11.7109375" bestFit="1" customWidth="1"/>
    <col min="10" max="10" width="11.7109375" customWidth="1"/>
    <col min="11" max="11" width="6.7109375" bestFit="1" customWidth="1"/>
    <col min="12" max="12" width="25" bestFit="1" customWidth="1"/>
    <col min="13" max="15" width="11.7109375" customWidth="1"/>
    <col min="16" max="16" width="12.7109375" bestFit="1" customWidth="1"/>
    <col min="17" max="17" width="9.28515625" bestFit="1" customWidth="1"/>
  </cols>
  <sheetData>
    <row r="1" spans="1:20" x14ac:dyDescent="0.25">
      <c r="A1" t="s">
        <v>27</v>
      </c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32</v>
      </c>
      <c r="J1" t="s">
        <v>159</v>
      </c>
      <c r="K1" t="s">
        <v>31</v>
      </c>
      <c r="L1" t="s">
        <v>48</v>
      </c>
      <c r="M1" t="s">
        <v>25</v>
      </c>
      <c r="N1" t="s">
        <v>49</v>
      </c>
    </row>
    <row r="2" spans="1:20" x14ac:dyDescent="0.25">
      <c r="A2" s="1">
        <v>45081</v>
      </c>
      <c r="B2">
        <v>55</v>
      </c>
      <c r="C2" s="5">
        <v>12345</v>
      </c>
      <c r="D2">
        <v>2017</v>
      </c>
      <c r="E2" t="s">
        <v>132</v>
      </c>
      <c r="F2" t="s">
        <v>112</v>
      </c>
      <c r="G2">
        <v>2000</v>
      </c>
      <c r="H2" s="4">
        <f>Table13467[[#This Row],[Price]]/Table13467[[#This Row],[Mileage]]</f>
        <v>6.1725000000000003</v>
      </c>
      <c r="I2" s="3">
        <f ca="1">Table13467[[#This Row],[Price]]/Table13467[[#This Row],[Age]]</f>
        <v>2057.5</v>
      </c>
      <c r="J2" s="3">
        <f ca="1">Table13467[[#This Row],[Price/age]]/Table13467[[#This Row],[price/mileage]]</f>
        <v>333.33333333333331</v>
      </c>
      <c r="K2">
        <f ca="1">IF(YEAR(TODAY())=Table13467[[#This Row],[year]],0.8,YEAR(TODAY())-Table13467[[#This Row],[year]])</f>
        <v>6</v>
      </c>
      <c r="L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3.113      26,086</v>
      </c>
      <c r="M2" s="4">
        <f t="array" aca="1" ref="M2" ca="1">EXP(INDEX(LINEST(LN(Table13467[Price]),Table13467[Age]),1,2))*EXP(INDEX(LINEST(LN(Table13467[Price]),Table13467[Age]),1,1)*Table13467[[#This Row],[Age]])/Table13467[[#This Row],[Price]]</f>
        <v>1.8776513598142093</v>
      </c>
      <c r="N2" s="4">
        <f ca="1">Table13467[[#This Row],[Column1]]*VALUE(SUBSTITUTE(LEFT(Table13467[[#This Row],[normal price/real milage]],3),",",""))</f>
        <v>5.8207192154240488</v>
      </c>
      <c r="O2" s="4"/>
      <c r="P2">
        <f t="array" ref="P2:Q2">LINEST(LN(Table13467[Price]),Table13467[Mileage])</f>
        <v>-5.613360049612114E-6</v>
      </c>
      <c r="Q2">
        <v>10.611227649803764</v>
      </c>
      <c r="S2">
        <f>INDEX(LINEST(Table13467[Price],Table13467[Mileage]),1,1)</f>
        <v>-0.12696634993630862</v>
      </c>
    </row>
    <row r="3" spans="1:20" x14ac:dyDescent="0.25">
      <c r="A3" s="1">
        <v>45081</v>
      </c>
      <c r="B3">
        <v>15</v>
      </c>
      <c r="C3" s="5">
        <v>16200</v>
      </c>
      <c r="D3">
        <v>2020</v>
      </c>
      <c r="E3" t="s">
        <v>113</v>
      </c>
      <c r="F3" t="s">
        <v>112</v>
      </c>
      <c r="G3">
        <v>43000</v>
      </c>
      <c r="H3" s="4">
        <f>Table13467[[#This Row],[Price]]/Table13467[[#This Row],[Mileage]]</f>
        <v>0.37674418604651161</v>
      </c>
      <c r="I3" s="3">
        <f ca="1">Table13467[[#This Row],[Price]]/Table13467[[#This Row],[Age]]</f>
        <v>5400</v>
      </c>
      <c r="J3" s="3">
        <f ca="1">Table13467[[#This Row],[Price/age]]/Table13467[[#This Row],[price/mileage]]</f>
        <v>14333.333333333334</v>
      </c>
      <c r="K3">
        <f ca="1">IF(YEAR(TODAY())=Table13467[[#This Row],[year]],0.8,YEAR(TODAY())-Table13467[[#This Row],[year]])</f>
        <v>3</v>
      </c>
      <c r="L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2.051      17,025</v>
      </c>
      <c r="M3" s="4">
        <f t="array" aca="1" ref="M3" ca="1">EXP(INDEX(LINEST(LN(Table13467[Price]),Table13467[Age]),1,2))*EXP(INDEX(LINEST(LN(Table13467[Price]),Table13467[Age]),1,1)*Table13467[[#This Row],[Age]])/Table13467[[#This Row],[Price]]</f>
        <v>2.0382564762031463</v>
      </c>
      <c r="N3" s="4">
        <f ca="1">Table13467[[#This Row],[Column1]]*VALUE(SUBSTITUTE(LEFT(Table13467[[#This Row],[normal price/real milage]],3),",",""))</f>
        <v>4.0765129524062926</v>
      </c>
      <c r="O3" s="4"/>
      <c r="P3">
        <f ca="1">_xlfn.QUARTILE.INC(Table13467[Column1],1)</f>
        <v>0.8586153849671927</v>
      </c>
      <c r="Q3">
        <f ca="1">_xlfn.QUARTILE.INC(Table13467[Column1],3)</f>
        <v>1.0869005683033104</v>
      </c>
      <c r="R3">
        <f ca="1">Q3-P3</f>
        <v>0.22828518333611769</v>
      </c>
      <c r="S3">
        <f ca="1">P3-1.5*R3</f>
        <v>0.51618760996301616</v>
      </c>
      <c r="T3">
        <f ca="1">Q3+1.5*R3</f>
        <v>1.4293283433074868</v>
      </c>
    </row>
    <row r="4" spans="1:20" x14ac:dyDescent="0.25">
      <c r="A4" s="1">
        <v>45081</v>
      </c>
      <c r="B4">
        <v>1</v>
      </c>
      <c r="C4" s="5">
        <v>15000</v>
      </c>
      <c r="D4">
        <v>2018</v>
      </c>
      <c r="E4" t="s">
        <v>110</v>
      </c>
      <c r="F4" t="s">
        <v>112</v>
      </c>
      <c r="G4">
        <v>35000</v>
      </c>
      <c r="H4" s="4">
        <f>Table13467[[#This Row],[Price]]/Table13467[[#This Row],[Mileage]]</f>
        <v>0.42857142857142855</v>
      </c>
      <c r="I4" s="3">
        <f ca="1">Table13467[[#This Row],[Price]]/Table13467[[#This Row],[Age]]</f>
        <v>3000</v>
      </c>
      <c r="J4" s="3">
        <f ca="1">Table13467[[#This Row],[Price/age]]/Table13467[[#This Row],[price/mileage]]</f>
        <v>7000</v>
      </c>
      <c r="K4">
        <f ca="1">IF(YEAR(TODAY())=Table13467[[#This Row],[year]],0.8,YEAR(TODAY())-Table13467[[#This Row],[year]])</f>
        <v>5</v>
      </c>
      <c r="L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2.283      19,241</v>
      </c>
      <c r="M4" s="4">
        <f t="array" aca="1" ref="M4" ca="1">EXP(INDEX(LINEST(LN(Table13467[Price]),Table13467[Age]),1,2))*EXP(INDEX(LINEST(LN(Table13467[Price]),Table13467[Age]),1,1)*Table13467[[#This Row],[Age]])/Table13467[[#This Row],[Price]]</f>
        <v>1.7387509875822269</v>
      </c>
      <c r="N4" s="4">
        <f ca="1">Table13467[[#This Row],[Column1]]*VALUE(SUBSTITUTE(LEFT(Table13467[[#This Row],[normal price/real milage]],3),",",""))</f>
        <v>3.8252521726808997</v>
      </c>
      <c r="O4" s="4"/>
    </row>
    <row r="5" spans="1:20" x14ac:dyDescent="0.25">
      <c r="A5" s="1">
        <v>45081</v>
      </c>
      <c r="B5">
        <v>27</v>
      </c>
      <c r="C5" s="5">
        <v>11495</v>
      </c>
      <c r="D5">
        <v>2015</v>
      </c>
      <c r="E5" t="s">
        <v>110</v>
      </c>
      <c r="F5" t="s">
        <v>116</v>
      </c>
      <c r="G5">
        <v>112000</v>
      </c>
      <c r="H5" s="4">
        <f>Table13467[[#This Row],[Price]]/Table13467[[#This Row],[Mileage]]</f>
        <v>0.10263392857142857</v>
      </c>
      <c r="I5" s="3">
        <f ca="1">Table13467[[#This Row],[Price]]/Table13467[[#This Row],[Age]]</f>
        <v>1436.875</v>
      </c>
      <c r="J5" s="3">
        <f ca="1">Table13467[[#This Row],[Price/age]]/Table13467[[#This Row],[price/mileage]]</f>
        <v>14000</v>
      </c>
      <c r="K5">
        <f ca="1">IF(YEAR(TODAY())=Table13467[[#This Row],[year]],0.8,YEAR(TODAY())-Table13467[[#This Row],[year]])</f>
        <v>8</v>
      </c>
      <c r="L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2.128      12,969</v>
      </c>
      <c r="M5" s="4">
        <f t="array" aca="1" ref="M5" ca="1">EXP(INDEX(LINEST(LN(Table13467[Price]),Table13467[Age]),1,2))*EXP(INDEX(LINEST(LN(Table13467[Price]),Table13467[Age]),1,1)*Table13467[[#This Row],[Age]])/Table13467[[#This Row],[Price]]</f>
        <v>1.5927656391784151</v>
      </c>
      <c r="N5" s="4">
        <f ca="1">Table13467[[#This Row],[Column1]]*VALUE(SUBSTITUTE(LEFT(Table13467[[#This Row],[normal price/real milage]],3),",",""))</f>
        <v>3.3448078422746716</v>
      </c>
      <c r="O5" s="4"/>
    </row>
    <row r="6" spans="1:20" x14ac:dyDescent="0.25">
      <c r="A6" s="1">
        <v>45081</v>
      </c>
      <c r="B6">
        <v>0</v>
      </c>
      <c r="C6" s="5">
        <v>15000</v>
      </c>
      <c r="D6">
        <v>2018</v>
      </c>
      <c r="E6" t="s">
        <v>110</v>
      </c>
      <c r="F6" t="s">
        <v>111</v>
      </c>
      <c r="G6">
        <v>92000</v>
      </c>
      <c r="H6" s="4">
        <f>Table13467[[#This Row],[Price]]/Table13467[[#This Row],[Mileage]]</f>
        <v>0.16304347826086957</v>
      </c>
      <c r="I6" s="3">
        <f ca="1">Table13467[[#This Row],[Price]]/Table13467[[#This Row],[Age]]</f>
        <v>3000</v>
      </c>
      <c r="J6" s="3">
        <f ca="1">Table13467[[#This Row],[Price/age]]/Table13467[[#This Row],[price/mileage]]</f>
        <v>18400</v>
      </c>
      <c r="K6">
        <f ca="1">IF(YEAR(TODAY())=Table13467[[#This Row],[year]],0.8,YEAR(TODAY())-Table13467[[#This Row],[year]])</f>
        <v>5</v>
      </c>
      <c r="L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1.800      12,004</v>
      </c>
      <c r="M6" s="4">
        <f t="array" aca="1" ref="M6" ca="1">EXP(INDEX(LINEST(LN(Table13467[Price]),Table13467[Age]),1,2))*EXP(INDEX(LINEST(LN(Table13467[Price]),Table13467[Age]),1,1)*Table13467[[#This Row],[Age]])/Table13467[[#This Row],[Price]]</f>
        <v>1.7387509875822269</v>
      </c>
      <c r="N6" s="4">
        <f ca="1">Table13467[[#This Row],[Column1]]*VALUE(SUBSTITUTE(LEFT(Table13467[[#This Row],[normal price/real milage]],3),",",""))</f>
        <v>3.1297517776480084</v>
      </c>
      <c r="O6" s="4"/>
    </row>
    <row r="7" spans="1:20" x14ac:dyDescent="0.25">
      <c r="A7" s="1">
        <v>45081</v>
      </c>
      <c r="B7">
        <v>94</v>
      </c>
      <c r="C7" s="5">
        <v>14900</v>
      </c>
      <c r="D7">
        <v>2018</v>
      </c>
      <c r="E7" t="s">
        <v>110</v>
      </c>
      <c r="F7" t="s">
        <v>117</v>
      </c>
      <c r="G7">
        <v>104000</v>
      </c>
      <c r="H7" s="4">
        <f>Table13467[[#This Row],[Price]]/Table13467[[#This Row],[Mileage]]</f>
        <v>0.14326923076923076</v>
      </c>
      <c r="I7" s="3">
        <f ca="1">Table13467[[#This Row],[Price]]/Table13467[[#This Row],[Age]]</f>
        <v>2980</v>
      </c>
      <c r="J7" s="3">
        <f ca="1">Table13467[[#This Row],[Price/age]]/Table13467[[#This Row],[price/mileage]]</f>
        <v>20800</v>
      </c>
      <c r="K7">
        <f ca="1">IF(YEAR(TODAY())=Table13467[[#This Row],[year]],0.8,YEAR(TODAY())-Table13467[[#This Row],[year]])</f>
        <v>5</v>
      </c>
      <c r="L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1.710      10,580</v>
      </c>
      <c r="M7" s="4">
        <f t="array" aca="1" ref="M7" ca="1">EXP(INDEX(LINEST(LN(Table13467[Price]),Table13467[Age]),1,2))*EXP(INDEX(LINEST(LN(Table13467[Price]),Table13467[Age]),1,1)*Table13467[[#This Row],[Age]])/Table13467[[#This Row],[Price]]</f>
        <v>1.7504204572975439</v>
      </c>
      <c r="N7" s="4">
        <f ca="1">Table13467[[#This Row],[Column1]]*VALUE(SUBSTITUTE(LEFT(Table13467[[#This Row],[normal price/real milage]],3),",",""))</f>
        <v>2.9757147774058246</v>
      </c>
      <c r="O7" s="4"/>
    </row>
    <row r="8" spans="1:20" x14ac:dyDescent="0.25">
      <c r="A8" s="1">
        <v>45081</v>
      </c>
      <c r="B8">
        <v>79</v>
      </c>
      <c r="C8" s="5">
        <v>6495</v>
      </c>
      <c r="D8">
        <v>2008</v>
      </c>
      <c r="E8" t="s">
        <v>110</v>
      </c>
      <c r="F8" t="s">
        <v>116</v>
      </c>
      <c r="G8">
        <v>183000</v>
      </c>
      <c r="H8" s="4">
        <f>Table13467[[#This Row],[Price]]/Table13467[[#This Row],[Mileage]]</f>
        <v>3.5491803278688526E-2</v>
      </c>
      <c r="I8" s="3">
        <f ca="1">Table13467[[#This Row],[Price]]/Table13467[[#This Row],[Age]]</f>
        <v>433</v>
      </c>
      <c r="J8" s="3">
        <f ca="1">Table13467[[#This Row],[Price/age]]/Table13467[[#This Row],[price/mileage]]</f>
        <v>12200</v>
      </c>
      <c r="K8">
        <f ca="1">IF(YEAR(TODAY())=Table13467[[#This Row],[year]],0.8,YEAR(TODAY())-Table13467[[#This Row],[year]])</f>
        <v>15</v>
      </c>
      <c r="L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2.379      8,955</v>
      </c>
      <c r="M8" s="4">
        <f t="array" aca="1" ref="M8" ca="1">EXP(INDEX(LINEST(LN(Table13467[Price]),Table13467[Age]),1,2))*EXP(INDEX(LINEST(LN(Table13467[Price]),Table13467[Age]),1,1)*Table13467[[#This Row],[Age]])/Table13467[[#This Row],[Price]]</f>
        <v>1.2345921458741802</v>
      </c>
      <c r="N8" s="4">
        <f ca="1">Table13467[[#This Row],[Column1]]*VALUE(SUBSTITUTE(LEFT(Table13467[[#This Row],[normal price/real milage]],3),",",""))</f>
        <v>2.8395619355106141</v>
      </c>
      <c r="O8" s="4"/>
    </row>
    <row r="9" spans="1:20" x14ac:dyDescent="0.25">
      <c r="A9" s="1">
        <v>45081</v>
      </c>
      <c r="B9">
        <v>2</v>
      </c>
      <c r="C9" s="5">
        <v>21500</v>
      </c>
      <c r="D9">
        <v>2021</v>
      </c>
      <c r="E9" t="s">
        <v>113</v>
      </c>
      <c r="F9" t="s">
        <v>112</v>
      </c>
      <c r="G9">
        <v>32000</v>
      </c>
      <c r="H9" s="4">
        <f>Table13467[[#This Row],[Price]]/Table13467[[#This Row],[Mileage]]</f>
        <v>0.671875</v>
      </c>
      <c r="I9" s="3">
        <f ca="1">Table13467[[#This Row],[Price]]/Table13467[[#This Row],[Age]]</f>
        <v>10750</v>
      </c>
      <c r="J9" s="3">
        <f ca="1">Table13467[[#This Row],[Price/age]]/Table13467[[#This Row],[price/mileage]]</f>
        <v>16000</v>
      </c>
      <c r="K9">
        <f ca="1">IF(YEAR(TODAY())=Table13467[[#This Row],[year]],0.8,YEAR(TODAY())-Table13467[[#This Row],[year]])</f>
        <v>2</v>
      </c>
      <c r="L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1.610      13,122</v>
      </c>
      <c r="M9" s="4">
        <f t="array" aca="1" ref="M9" ca="1">EXP(INDEX(LINEST(LN(Table13467[Price]),Table13467[Age]),1,2))*EXP(INDEX(LINEST(LN(Table13467[Price]),Table13467[Age]),1,1)*Table13467[[#This Row],[Age]])/Table13467[[#This Row],[Price]]</f>
        <v>1.7280566827986876</v>
      </c>
      <c r="N9" s="4">
        <f ca="1">Table13467[[#This Row],[Column1]]*VALUE(SUBSTITUTE(LEFT(Table13467[[#This Row],[normal price/real milage]],3),",",""))</f>
        <v>2.7648906924779002</v>
      </c>
      <c r="O9" s="4"/>
    </row>
    <row r="10" spans="1:20" x14ac:dyDescent="0.25">
      <c r="A10" s="1">
        <v>45081</v>
      </c>
      <c r="B10">
        <v>14</v>
      </c>
      <c r="C10" s="5">
        <v>19000</v>
      </c>
      <c r="D10">
        <v>2019</v>
      </c>
      <c r="E10" t="s">
        <v>110</v>
      </c>
      <c r="F10" t="s">
        <v>112</v>
      </c>
      <c r="G10">
        <v>40000</v>
      </c>
      <c r="H10" s="4">
        <f>Table13467[[#This Row],[Price]]/Table13467[[#This Row],[Mileage]]</f>
        <v>0.47499999999999998</v>
      </c>
      <c r="I10" s="3">
        <f ca="1">Table13467[[#This Row],[Price]]/Table13467[[#This Row],[Age]]</f>
        <v>4750</v>
      </c>
      <c r="J10" s="3">
        <f ca="1">Table13467[[#This Row],[Price/age]]/Table13467[[#This Row],[price/mileage]]</f>
        <v>10000</v>
      </c>
      <c r="K10">
        <f ca="1">IF(YEAR(TODAY())=Table13467[[#This Row],[year]],0.8,YEAR(TODAY())-Table13467[[#This Row],[year]])</f>
        <v>4</v>
      </c>
      <c r="L1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1.769      14,606</v>
      </c>
      <c r="M10" s="4">
        <f t="array" aca="1" ref="M10" ca="1">EXP(INDEX(LINEST(LN(Table13467[Price]),Table13467[Age]),1,2))*EXP(INDEX(LINEST(LN(Table13467[Price]),Table13467[Age]),1,1)*Table13467[[#This Row],[Age]])/Table13467[[#This Row],[Price]]</f>
        <v>1.5445346160191682</v>
      </c>
      <c r="N10" s="4">
        <f ca="1">Table13467[[#This Row],[Column1]]*VALUE(SUBSTITUTE(LEFT(Table13467[[#This Row],[normal price/real milage]],3),",",""))</f>
        <v>2.6257088472325858</v>
      </c>
      <c r="O10" s="4"/>
    </row>
    <row r="11" spans="1:20" x14ac:dyDescent="0.25">
      <c r="A11" s="1">
        <v>45081</v>
      </c>
      <c r="B11">
        <v>69</v>
      </c>
      <c r="C11" s="5">
        <v>19500</v>
      </c>
      <c r="D11">
        <v>2019</v>
      </c>
      <c r="E11" t="s">
        <v>110</v>
      </c>
      <c r="F11" t="s">
        <v>117</v>
      </c>
      <c r="G11">
        <v>36000</v>
      </c>
      <c r="H11" s="4">
        <f>Table13467[[#This Row],[Price]]/Table13467[[#This Row],[Mileage]]</f>
        <v>0.54166666666666663</v>
      </c>
      <c r="I11" s="3">
        <f ca="1">Table13467[[#This Row],[Price]]/Table13467[[#This Row],[Age]]</f>
        <v>4875</v>
      </c>
      <c r="J11" s="3">
        <f ca="1">Table13467[[#This Row],[Price/age]]/Table13467[[#This Row],[price/mileage]]</f>
        <v>9000</v>
      </c>
      <c r="K11">
        <f ca="1">IF(YEAR(TODAY())=Table13467[[#This Row],[year]],0.8,YEAR(TODAY())-Table13467[[#This Row],[year]])</f>
        <v>4</v>
      </c>
      <c r="L1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1.749      14,614</v>
      </c>
      <c r="M11" s="4">
        <f t="array" aca="1" ref="M11" ca="1">EXP(INDEX(LINEST(LN(Table13467[Price]),Table13467[Age]),1,2))*EXP(INDEX(LINEST(LN(Table13467[Price]),Table13467[Age]),1,1)*Table13467[[#This Row],[Age]])/Table13467[[#This Row],[Price]]</f>
        <v>1.504931164326369</v>
      </c>
      <c r="N11" s="4">
        <f ca="1">Table13467[[#This Row],[Column1]]*VALUE(SUBSTITUTE(LEFT(Table13467[[#This Row],[normal price/real milage]],3),",",""))</f>
        <v>2.5583829793548274</v>
      </c>
      <c r="O11" s="4"/>
    </row>
    <row r="12" spans="1:20" x14ac:dyDescent="0.25">
      <c r="A12" s="1">
        <v>45081</v>
      </c>
      <c r="B12">
        <v>19</v>
      </c>
      <c r="C12" s="5">
        <v>20995</v>
      </c>
      <c r="D12">
        <v>2020</v>
      </c>
      <c r="E12" t="s">
        <v>110</v>
      </c>
      <c r="F12" t="s">
        <v>116</v>
      </c>
      <c r="G12">
        <v>42000</v>
      </c>
      <c r="H12" s="4">
        <f>Table13467[[#This Row],[Price]]/Table13467[[#This Row],[Mileage]]</f>
        <v>0.49988095238095237</v>
      </c>
      <c r="I12" s="3">
        <f ca="1">Table13467[[#This Row],[Price]]/Table13467[[#This Row],[Age]]</f>
        <v>6998.333333333333</v>
      </c>
      <c r="J12" s="3">
        <f ca="1">Table13467[[#This Row],[Price/age]]/Table13467[[#This Row],[price/mileage]]</f>
        <v>14000</v>
      </c>
      <c r="K12">
        <f ca="1">IF(YEAR(TODAY())=Table13467[[#This Row],[year]],0.8,YEAR(TODAY())-Table13467[[#This Row],[year]])</f>
        <v>3</v>
      </c>
      <c r="L1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1.589      12,357</v>
      </c>
      <c r="M12" s="4">
        <f t="array" aca="1" ref="M12" ca="1">EXP(INDEX(LINEST(LN(Table13467[Price]),Table13467[Age]),1,2))*EXP(INDEX(LINEST(LN(Table13467[Price]),Table13467[Age]),1,1)*Table13467[[#This Row],[Age]])/Table13467[[#This Row],[Price]]</f>
        <v>1.5727437444387222</v>
      </c>
      <c r="N12" s="4">
        <f ca="1">Table13467[[#This Row],[Column1]]*VALUE(SUBSTITUTE(LEFT(Table13467[[#This Row],[normal price/real milage]],3),",",""))</f>
        <v>2.3591156166580833</v>
      </c>
      <c r="O12" s="4"/>
    </row>
    <row r="13" spans="1:20" x14ac:dyDescent="0.25">
      <c r="A13" s="1">
        <v>45081</v>
      </c>
      <c r="B13">
        <v>18</v>
      </c>
      <c r="C13" s="5">
        <v>12995</v>
      </c>
      <c r="D13">
        <v>2017</v>
      </c>
      <c r="E13" t="s">
        <v>110</v>
      </c>
      <c r="F13" t="s">
        <v>116</v>
      </c>
      <c r="G13">
        <v>177000</v>
      </c>
      <c r="H13" s="4">
        <f>Table13467[[#This Row],[Price]]/Table13467[[#This Row],[Mileage]]</f>
        <v>7.3418079096045197E-2</v>
      </c>
      <c r="I13" s="3">
        <f ca="1">Table13467[[#This Row],[Price]]/Table13467[[#This Row],[Age]]</f>
        <v>2165.8333333333335</v>
      </c>
      <c r="J13" s="3">
        <f ca="1">Table13467[[#This Row],[Price/age]]/Table13467[[#This Row],[price/mileage]]</f>
        <v>29500.000000000004</v>
      </c>
      <c r="K13">
        <f ca="1">IF(YEAR(TODAY())=Table13467[[#This Row],[year]],0.8,YEAR(TODAY())-Table13467[[#This Row],[year]])</f>
        <v>6</v>
      </c>
      <c r="L1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1.248      3,216</v>
      </c>
      <c r="M13" s="4">
        <f t="array" aca="1" ref="M13" ca="1">EXP(INDEX(LINEST(LN(Table13467[Price]),Table13467[Age]),1,2))*EXP(INDEX(LINEST(LN(Table13467[Price]),Table13467[Age]),1,1)*Table13467[[#This Row],[Age]])/Table13467[[#This Row],[Price]]</f>
        <v>1.7837326692502051</v>
      </c>
      <c r="N13" s="4">
        <f ca="1">Table13467[[#This Row],[Column1]]*VALUE(SUBSTITUTE(LEFT(Table13467[[#This Row],[normal price/real milage]],3),",",""))</f>
        <v>2.140479203100246</v>
      </c>
      <c r="O13" s="4"/>
    </row>
    <row r="14" spans="1:20" x14ac:dyDescent="0.25">
      <c r="A14" s="1">
        <v>45081</v>
      </c>
      <c r="B14">
        <v>137</v>
      </c>
      <c r="C14" s="5">
        <v>21450</v>
      </c>
      <c r="D14">
        <v>2020</v>
      </c>
      <c r="E14" t="s">
        <v>154</v>
      </c>
      <c r="F14" t="s">
        <v>116</v>
      </c>
      <c r="G14">
        <v>69000</v>
      </c>
      <c r="H14" s="4">
        <f>Table13467[[#This Row],[Price]]/Table13467[[#This Row],[Mileage]]</f>
        <v>0.31086956521739129</v>
      </c>
      <c r="I14" s="3">
        <f ca="1">Table13467[[#This Row],[Price]]/Table13467[[#This Row],[Age]]</f>
        <v>7150</v>
      </c>
      <c r="J14" s="3">
        <f ca="1">Table13467[[#This Row],[Price/age]]/Table13467[[#This Row],[price/mileage]]</f>
        <v>23000</v>
      </c>
      <c r="K14">
        <f ca="1">IF(YEAR(TODAY())=Table13467[[#This Row],[year]],0.8,YEAR(TODAY())-Table13467[[#This Row],[year]])</f>
        <v>3</v>
      </c>
      <c r="L1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1.395      8,474</v>
      </c>
      <c r="M14" s="4">
        <f t="array" aca="1" ref="M14" ca="1">EXP(INDEX(LINEST(LN(Table13467[Price]),Table13467[Age]),1,2))*EXP(INDEX(LINEST(LN(Table13467[Price]),Table13467[Age]),1,1)*Table13467[[#This Row],[Age]])/Table13467[[#This Row],[Price]]</f>
        <v>1.5393825134960826</v>
      </c>
      <c r="N14" s="4">
        <f ca="1">Table13467[[#This Row],[Column1]]*VALUE(SUBSTITUTE(LEFT(Table13467[[#This Row],[normal price/real milage]],3),",",""))</f>
        <v>2.0011972675449075</v>
      </c>
      <c r="O14" s="4"/>
    </row>
    <row r="15" spans="1:20" x14ac:dyDescent="0.25">
      <c r="A15" s="1">
        <v>45081</v>
      </c>
      <c r="B15">
        <v>35</v>
      </c>
      <c r="C15" s="5">
        <v>8770</v>
      </c>
      <c r="D15">
        <v>2007</v>
      </c>
      <c r="E15" t="s">
        <v>110</v>
      </c>
      <c r="F15" t="s">
        <v>116</v>
      </c>
      <c r="G15">
        <v>136000</v>
      </c>
      <c r="H15" s="4">
        <f>Table13467[[#This Row],[Price]]/Table13467[[#This Row],[Mileage]]</f>
        <v>6.4485294117647057E-2</v>
      </c>
      <c r="I15" s="3">
        <f ca="1">Table13467[[#This Row],[Price]]/Table13467[[#This Row],[Age]]</f>
        <v>548.125</v>
      </c>
      <c r="J15" s="3">
        <f ca="1">Table13467[[#This Row],[Price/age]]/Table13467[[#This Row],[price/mileage]]</f>
        <v>8500</v>
      </c>
      <c r="K15">
        <f ca="1">IF(YEAR(TODAY())=Table13467[[#This Row],[year]],0.8,YEAR(TODAY())-Table13467[[#This Row],[year]])</f>
        <v>16</v>
      </c>
      <c r="L1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2.442      12,647</v>
      </c>
      <c r="M15" s="4">
        <f t="array" aca="1" ref="M15" ca="1">EXP(INDEX(LINEST(LN(Table13467[Price]),Table13467[Age]),1,2))*EXP(INDEX(LINEST(LN(Table13467[Price]),Table13467[Age]),1,1)*Table13467[[#This Row],[Age]])/Table13467[[#This Row],[Price]]</f>
        <v>0.81260683972693282</v>
      </c>
      <c r="N15" s="4">
        <f ca="1">Table13467[[#This Row],[Column1]]*VALUE(SUBSTITUTE(LEFT(Table13467[[#This Row],[normal price/real milage]],3),",",""))</f>
        <v>1.9502564153446387</v>
      </c>
      <c r="O15" s="4"/>
    </row>
    <row r="16" spans="1:20" x14ac:dyDescent="0.25">
      <c r="A16" s="1">
        <v>45081</v>
      </c>
      <c r="B16">
        <v>88</v>
      </c>
      <c r="C16" s="5">
        <v>9700</v>
      </c>
      <c r="D16">
        <v>2010</v>
      </c>
      <c r="E16" t="s">
        <v>110</v>
      </c>
      <c r="F16" t="s">
        <v>116</v>
      </c>
      <c r="G16">
        <v>161000</v>
      </c>
      <c r="H16" s="4">
        <f>Table13467[[#This Row],[Price]]/Table13467[[#This Row],[Mileage]]</f>
        <v>6.0248447204968941E-2</v>
      </c>
      <c r="I16" s="3">
        <f ca="1">Table13467[[#This Row],[Price]]/Table13467[[#This Row],[Age]]</f>
        <v>746.15384615384619</v>
      </c>
      <c r="J16" s="3">
        <f ca="1">Table13467[[#This Row],[Price/age]]/Table13467[[#This Row],[price/mileage]]</f>
        <v>12384.615384615387</v>
      </c>
      <c r="K16">
        <f ca="1">IF(YEAR(TODAY())=Table13467[[#This Row],[year]],0.8,YEAR(TODAY())-Table13467[[#This Row],[year]])</f>
        <v>13</v>
      </c>
      <c r="L1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1.881      8,543</v>
      </c>
      <c r="M16" s="4">
        <f t="array" aca="1" ref="M16" ca="1">EXP(INDEX(LINEST(LN(Table13467[Price]),Table13467[Age]),1,2))*EXP(INDEX(LINEST(LN(Table13467[Price]),Table13467[Age]),1,1)*Table13467[[#This Row],[Age]])/Table13467[[#This Row],[Price]]</f>
        <v>1.0465889079049913</v>
      </c>
      <c r="N16" s="4">
        <f ca="1">Table13467[[#This Row],[Column1]]*VALUE(SUBSTITUTE(LEFT(Table13467[[#This Row],[normal price/real milage]],3),",",""))</f>
        <v>1.8838600342289844</v>
      </c>
      <c r="O16" s="4"/>
    </row>
    <row r="17" spans="1:15" x14ac:dyDescent="0.25">
      <c r="A17" s="1">
        <v>45081</v>
      </c>
      <c r="B17">
        <v>146</v>
      </c>
      <c r="C17" s="5">
        <v>6500</v>
      </c>
      <c r="D17">
        <v>2006</v>
      </c>
      <c r="E17" t="s">
        <v>110</v>
      </c>
      <c r="F17" t="s">
        <v>114</v>
      </c>
      <c r="G17">
        <v>207000</v>
      </c>
      <c r="H17" s="4">
        <f>Table13467[[#This Row],[Price]]/Table13467[[#This Row],[Mileage]]</f>
        <v>3.140096618357488E-2</v>
      </c>
      <c r="I17" s="3">
        <f ca="1">Table13467[[#This Row],[Price]]/Table13467[[#This Row],[Age]]</f>
        <v>382.35294117647061</v>
      </c>
      <c r="J17" s="3">
        <f ca="1">Table13467[[#This Row],[Price/age]]/Table13467[[#This Row],[price/mileage]]</f>
        <v>12176.470588235294</v>
      </c>
      <c r="K17">
        <f ca="1">IF(YEAR(TODAY())=Table13467[[#This Row],[year]],0.8,YEAR(TODAY())-Table13467[[#This Row],[year]])</f>
        <v>17</v>
      </c>
      <c r="L1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1.908      5,902</v>
      </c>
      <c r="M17" s="4">
        <f t="array" aca="1" ref="M17" ca="1">EXP(INDEX(LINEST(LN(Table13467[Price]),Table13467[Age]),1,2))*EXP(INDEX(LINEST(LN(Table13467[Price]),Table13467[Age]),1,1)*Table13467[[#This Row],[Age]])/Table13467[[#This Row],[Price]]</f>
        <v>0.97441533887293175</v>
      </c>
      <c r="N17" s="4">
        <f ca="1">Table13467[[#This Row],[Column1]]*VALUE(SUBSTITUTE(LEFT(Table13467[[#This Row],[normal price/real milage]],3),",",""))</f>
        <v>1.8513891438585703</v>
      </c>
      <c r="O17" s="4"/>
    </row>
    <row r="18" spans="1:15" x14ac:dyDescent="0.25">
      <c r="A18" s="1">
        <v>45081</v>
      </c>
      <c r="B18">
        <v>39</v>
      </c>
      <c r="C18" s="5">
        <v>13499</v>
      </c>
      <c r="D18">
        <v>2016</v>
      </c>
      <c r="E18" t="s">
        <v>110</v>
      </c>
      <c r="F18" t="s">
        <v>112</v>
      </c>
      <c r="G18">
        <v>172000</v>
      </c>
      <c r="H18" s="4">
        <f>Table13467[[#This Row],[Price]]/Table13467[[#This Row],[Mileage]]</f>
        <v>7.8482558139534878E-2</v>
      </c>
      <c r="I18" s="3">
        <f ca="1">Table13467[[#This Row],[Price]]/Table13467[[#This Row],[Age]]</f>
        <v>1928.4285714285713</v>
      </c>
      <c r="J18" s="3">
        <f ca="1">Table13467[[#This Row],[Price/age]]/Table13467[[#This Row],[price/mileage]]</f>
        <v>24571.428571428572</v>
      </c>
      <c r="K18">
        <f ca="1">IF(YEAR(TODAY())=Table13467[[#This Row],[year]],0.8,YEAR(TODAY())-Table13467[[#This Row],[year]])</f>
        <v>7</v>
      </c>
      <c r="L1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1.248      3,347</v>
      </c>
      <c r="M18" s="4">
        <f t="array" aca="1" ref="M18" ca="1">EXP(INDEX(LINEST(LN(Table13467[Price]),Table13467[Age]),1,2))*EXP(INDEX(LINEST(LN(Table13467[Price]),Table13467[Age]),1,1)*Table13467[[#This Row],[Age]])/Table13467[[#This Row],[Price]]</f>
        <v>1.526096002252884</v>
      </c>
      <c r="N18" s="4">
        <f ca="1">Table13467[[#This Row],[Column1]]*VALUE(SUBSTITUTE(LEFT(Table13467[[#This Row],[normal price/real milage]],3),",",""))</f>
        <v>1.8313152027034607</v>
      </c>
      <c r="O18" s="4"/>
    </row>
    <row r="19" spans="1:15" x14ac:dyDescent="0.25">
      <c r="A19" s="1">
        <v>45081</v>
      </c>
      <c r="B19">
        <v>32</v>
      </c>
      <c r="C19" s="5">
        <v>7900</v>
      </c>
      <c r="D19">
        <v>2010</v>
      </c>
      <c r="E19" t="s">
        <v>110</v>
      </c>
      <c r="F19" t="s">
        <v>127</v>
      </c>
      <c r="G19">
        <v>215000</v>
      </c>
      <c r="H19" s="4">
        <f>Table13467[[#This Row],[Price]]/Table13467[[#This Row],[Mileage]]</f>
        <v>3.6744186046511626E-2</v>
      </c>
      <c r="I19" s="3">
        <f ca="1">Table13467[[#This Row],[Price]]/Table13467[[#This Row],[Age]]</f>
        <v>607.69230769230774</v>
      </c>
      <c r="J19" s="3">
        <f ca="1">Table13467[[#This Row],[Price/age]]/Table13467[[#This Row],[price/mileage]]</f>
        <v>16538.461538461539</v>
      </c>
      <c r="K19">
        <f ca="1">IF(YEAR(TODAY())=Table13467[[#This Row],[year]],0.8,YEAR(TODAY())-Table13467[[#This Row],[year]])</f>
        <v>13</v>
      </c>
      <c r="L1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1.441      3,487</v>
      </c>
      <c r="M19" s="4">
        <f t="array" aca="1" ref="M19" ca="1">EXP(INDEX(LINEST(LN(Table13467[Price]),Table13467[Age]),1,2))*EXP(INDEX(LINEST(LN(Table13467[Price]),Table13467[Age]),1,1)*Table13467[[#This Row],[Age]])/Table13467[[#This Row],[Price]]</f>
        <v>1.2850522033770146</v>
      </c>
      <c r="N19" s="4">
        <f ca="1">Table13467[[#This Row],[Column1]]*VALUE(SUBSTITUTE(LEFT(Table13467[[#This Row],[normal price/real milage]],3),",",""))</f>
        <v>1.7990730847278205</v>
      </c>
      <c r="O19" s="4"/>
    </row>
    <row r="20" spans="1:15" x14ac:dyDescent="0.25">
      <c r="A20" s="1">
        <v>45081</v>
      </c>
      <c r="B20">
        <v>46</v>
      </c>
      <c r="C20" s="5">
        <v>16000</v>
      </c>
      <c r="D20">
        <v>2015</v>
      </c>
      <c r="E20" t="s">
        <v>110</v>
      </c>
      <c r="F20" t="s">
        <v>116</v>
      </c>
      <c r="G20">
        <v>105000</v>
      </c>
      <c r="H20" s="4">
        <f>Table13467[[#This Row],[Price]]/Table13467[[#This Row],[Mileage]]</f>
        <v>0.15238095238095239</v>
      </c>
      <c r="I20" s="3">
        <f ca="1">Table13467[[#This Row],[Price]]/Table13467[[#This Row],[Age]]</f>
        <v>2000</v>
      </c>
      <c r="J20" s="3">
        <f ca="1">Table13467[[#This Row],[Price/age]]/Table13467[[#This Row],[price/mileage]]</f>
        <v>13124.999999999998</v>
      </c>
      <c r="K20">
        <f ca="1">IF(YEAR(TODAY())=Table13467[[#This Row],[year]],0.8,YEAR(TODAY())-Table13467[[#This Row],[year]])</f>
        <v>8</v>
      </c>
      <c r="L2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1.585      9,353</v>
      </c>
      <c r="M20" s="4">
        <f t="array" aca="1" ref="M20" ca="1">EXP(INDEX(LINEST(LN(Table13467[Price]),Table13467[Age]),1,2))*EXP(INDEX(LINEST(LN(Table13467[Price]),Table13467[Age]),1,1)*Table13467[[#This Row],[Age]])/Table13467[[#This Row],[Price]]</f>
        <v>1.1443025638972426</v>
      </c>
      <c r="N20" s="4">
        <f ca="1">Table13467[[#This Row],[Column1]]*VALUE(SUBSTITUTE(LEFT(Table13467[[#This Row],[normal price/real milage]],3),",",""))</f>
        <v>1.716453845845864</v>
      </c>
      <c r="O20" s="4"/>
    </row>
    <row r="21" spans="1:15" x14ac:dyDescent="0.25">
      <c r="A21" s="1">
        <v>45081</v>
      </c>
      <c r="B21">
        <v>102</v>
      </c>
      <c r="C21" s="5">
        <v>10985</v>
      </c>
      <c r="D21">
        <v>2011</v>
      </c>
      <c r="E21" t="s">
        <v>142</v>
      </c>
      <c r="F21" t="s">
        <v>116</v>
      </c>
      <c r="G21">
        <v>159000</v>
      </c>
      <c r="H21" s="4">
        <f>Table13467[[#This Row],[Price]]/Table13467[[#This Row],[Mileage]]</f>
        <v>6.908805031446541E-2</v>
      </c>
      <c r="I21" s="3">
        <f ca="1">Table13467[[#This Row],[Price]]/Table13467[[#This Row],[Age]]</f>
        <v>915.41666666666663</v>
      </c>
      <c r="J21" s="3">
        <f ca="1">Table13467[[#This Row],[Price/age]]/Table13467[[#This Row],[price/mileage]]</f>
        <v>13250</v>
      </c>
      <c r="K21">
        <f ca="1">IF(YEAR(TODAY())=Table13467[[#This Row],[year]],0.8,YEAR(TODAY())-Table13467[[#This Row],[year]])</f>
        <v>12</v>
      </c>
      <c r="L2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1.684      7,512</v>
      </c>
      <c r="M21" s="4">
        <f t="array" aca="1" ref="M21" ca="1">EXP(INDEX(LINEST(LN(Table13467[Price]),Table13467[Age]),1,2))*EXP(INDEX(LINEST(LN(Table13467[Price]),Table13467[Age]),1,1)*Table13467[[#This Row],[Age]])/Table13467[[#This Row],[Price]]</f>
        <v>1.0398492885000838</v>
      </c>
      <c r="N21" s="4">
        <f ca="1">Table13467[[#This Row],[Column1]]*VALUE(SUBSTITUTE(LEFT(Table13467[[#This Row],[normal price/real milage]],3),",",""))</f>
        <v>1.6637588616001342</v>
      </c>
      <c r="O21" s="4"/>
    </row>
    <row r="22" spans="1:15" x14ac:dyDescent="0.25">
      <c r="A22" s="1">
        <v>45081</v>
      </c>
      <c r="B22">
        <v>134</v>
      </c>
      <c r="C22" s="5">
        <v>9200</v>
      </c>
      <c r="D22">
        <v>2009</v>
      </c>
      <c r="E22" t="s">
        <v>110</v>
      </c>
      <c r="F22" t="s">
        <v>116</v>
      </c>
      <c r="G22">
        <v>184000</v>
      </c>
      <c r="H22" s="4">
        <f>Table13467[[#This Row],[Price]]/Table13467[[#This Row],[Mileage]]</f>
        <v>0.05</v>
      </c>
      <c r="I22" s="3">
        <f ca="1">Table13467[[#This Row],[Price]]/Table13467[[#This Row],[Age]]</f>
        <v>657.14285714285711</v>
      </c>
      <c r="J22" s="3">
        <f ca="1">Table13467[[#This Row],[Price/age]]/Table13467[[#This Row],[price/mileage]]</f>
        <v>13142.857142857141</v>
      </c>
      <c r="K22">
        <f ca="1">IF(YEAR(TODAY())=Table13467[[#This Row],[year]],0.8,YEAR(TODAY())-Table13467[[#This Row],[year]])</f>
        <v>14</v>
      </c>
      <c r="L2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1.666      6,123</v>
      </c>
      <c r="M22" s="4">
        <f t="array" aca="1" ref="M22" ca="1">EXP(INDEX(LINEST(LN(Table13467[Price]),Table13467[Age]),1,2))*EXP(INDEX(LINEST(LN(Table13467[Price]),Table13467[Age]),1,1)*Table13467[[#This Row],[Age]])/Table13467[[#This Row],[Price]]</f>
        <v>0.98070284729609325</v>
      </c>
      <c r="N22" s="4">
        <f ca="1">Table13467[[#This Row],[Column1]]*VALUE(SUBSTITUTE(LEFT(Table13467[[#This Row],[normal price/real milage]],3),",",""))</f>
        <v>1.5691245556737492</v>
      </c>
      <c r="O22" s="4"/>
    </row>
    <row r="23" spans="1:15" x14ac:dyDescent="0.25">
      <c r="A23" s="1">
        <v>45081</v>
      </c>
      <c r="B23">
        <v>73</v>
      </c>
      <c r="C23" s="5">
        <v>12995</v>
      </c>
      <c r="D23">
        <v>2013</v>
      </c>
      <c r="E23" t="s">
        <v>110</v>
      </c>
      <c r="F23" t="s">
        <v>114</v>
      </c>
      <c r="G23">
        <v>154000</v>
      </c>
      <c r="H23" s="4">
        <f>Table13467[[#This Row],[Price]]/Table13467[[#This Row],[Mileage]]</f>
        <v>8.4383116883116879E-2</v>
      </c>
      <c r="I23" s="3">
        <f ca="1">Table13467[[#This Row],[Price]]/Table13467[[#This Row],[Age]]</f>
        <v>1299.5</v>
      </c>
      <c r="J23" s="3">
        <f ca="1">Table13467[[#This Row],[Price/age]]/Table13467[[#This Row],[price/mileage]]</f>
        <v>15400</v>
      </c>
      <c r="K23">
        <f ca="1">IF(YEAR(TODAY())=Table13467[[#This Row],[year]],0.8,YEAR(TODAY())-Table13467[[#This Row],[year]])</f>
        <v>10</v>
      </c>
      <c r="L2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1.472      6,137</v>
      </c>
      <c r="M23" s="4">
        <f t="array" aca="1" ref="M23" ca="1">EXP(INDEX(LINEST(LN(Table13467[Price]),Table13467[Age]),1,2))*EXP(INDEX(LINEST(LN(Table13467[Price]),Table13467[Age]),1,1)*Table13467[[#This Row],[Age]])/Table13467[[#This Row],[Price]]</f>
        <v>1.1128570287355808</v>
      </c>
      <c r="N23" s="4">
        <f ca="1">Table13467[[#This Row],[Column1]]*VALUE(SUBSTITUTE(LEFT(Table13467[[#This Row],[normal price/real milage]],3),",",""))</f>
        <v>1.557999840229813</v>
      </c>
      <c r="O23" s="4"/>
    </row>
    <row r="24" spans="1:15" x14ac:dyDescent="0.25">
      <c r="A24" s="1">
        <v>45081</v>
      </c>
      <c r="B24">
        <v>74</v>
      </c>
      <c r="C24" s="5">
        <v>11500</v>
      </c>
      <c r="D24">
        <v>2011</v>
      </c>
      <c r="E24" t="s">
        <v>110</v>
      </c>
      <c r="F24" t="s">
        <v>116</v>
      </c>
      <c r="G24">
        <v>162000</v>
      </c>
      <c r="H24" s="4">
        <f>Table13467[[#This Row],[Price]]/Table13467[[#This Row],[Mileage]]</f>
        <v>7.098765432098765E-2</v>
      </c>
      <c r="I24" s="3">
        <f ca="1">Table13467[[#This Row],[Price]]/Table13467[[#This Row],[Age]]</f>
        <v>958.33333333333337</v>
      </c>
      <c r="J24" s="3">
        <f ca="1">Table13467[[#This Row],[Price/age]]/Table13467[[#This Row],[price/mileage]]</f>
        <v>13500.000000000002</v>
      </c>
      <c r="K24">
        <f ca="1">IF(YEAR(TODAY())=Table13467[[#This Row],[year]],0.8,YEAR(TODAY())-Table13467[[#This Row],[year]])</f>
        <v>12</v>
      </c>
      <c r="L2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1.575      6,616</v>
      </c>
      <c r="M24" s="4">
        <f t="array" aca="1" ref="M24" ca="1">EXP(INDEX(LINEST(LN(Table13467[Price]),Table13467[Age]),1,2))*EXP(INDEX(LINEST(LN(Table13467[Price]),Table13467[Age]),1,1)*Table13467[[#This Row],[Age]])/Table13467[[#This Row],[Price]]</f>
        <v>0.99328212471073229</v>
      </c>
      <c r="N24" s="4">
        <f ca="1">Table13467[[#This Row],[Column1]]*VALUE(SUBSTITUTE(LEFT(Table13467[[#This Row],[normal price/real milage]],3),",",""))</f>
        <v>1.4899231870660985</v>
      </c>
      <c r="O24" s="4"/>
    </row>
    <row r="25" spans="1:15" x14ac:dyDescent="0.25">
      <c r="A25" s="1">
        <v>45081</v>
      </c>
      <c r="B25">
        <v>13</v>
      </c>
      <c r="C25" s="5">
        <v>27500</v>
      </c>
      <c r="D25">
        <v>2020</v>
      </c>
      <c r="E25" t="s">
        <v>121</v>
      </c>
      <c r="F25" t="s">
        <v>112</v>
      </c>
      <c r="G25">
        <v>26000</v>
      </c>
      <c r="H25" s="4">
        <f>Table13467[[#This Row],[Price]]/Table13467[[#This Row],[Mileage]]</f>
        <v>1.0576923076923077</v>
      </c>
      <c r="I25" s="3">
        <f ca="1">Table13467[[#This Row],[Price]]/Table13467[[#This Row],[Age]]</f>
        <v>9166.6666666666661</v>
      </c>
      <c r="J25" s="3">
        <f ca="1">Table13467[[#This Row],[Price/age]]/Table13467[[#This Row],[price/mileage]]</f>
        <v>8666.6666666666661</v>
      </c>
      <c r="K25">
        <f ca="1">IF(YEAR(TODAY())=Table13467[[#This Row],[year]],0.8,YEAR(TODAY())-Table13467[[#This Row],[year]])</f>
        <v>3</v>
      </c>
      <c r="L2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1.287      7,883</v>
      </c>
      <c r="M25" s="4">
        <f t="array" aca="1" ref="M25" ca="1">EXP(INDEX(LINEST(LN(Table13467[Price]),Table13467[Age]),1,2))*EXP(INDEX(LINEST(LN(Table13467[Price]),Table13467[Age]),1,1)*Table13467[[#This Row],[Age]])/Table13467[[#This Row],[Price]]</f>
        <v>1.2007183605269445</v>
      </c>
      <c r="N25" s="4">
        <f ca="1">Table13467[[#This Row],[Column1]]*VALUE(SUBSTITUTE(LEFT(Table13467[[#This Row],[normal price/real milage]],3),",",""))</f>
        <v>1.4408620326323334</v>
      </c>
      <c r="O25" s="4"/>
    </row>
    <row r="26" spans="1:15" x14ac:dyDescent="0.25">
      <c r="A26" s="1">
        <v>45081</v>
      </c>
      <c r="B26">
        <v>53</v>
      </c>
      <c r="C26" s="5">
        <v>6500</v>
      </c>
      <c r="D26">
        <v>2011</v>
      </c>
      <c r="E26" t="s">
        <v>131</v>
      </c>
      <c r="F26" t="s">
        <v>112</v>
      </c>
      <c r="G26">
        <v>263000</v>
      </c>
      <c r="H26" s="4">
        <f>Table13467[[#This Row],[Price]]/Table13467[[#This Row],[Mileage]]</f>
        <v>2.4714828897338403E-2</v>
      </c>
      <c r="I26" s="3">
        <f ca="1">Table13467[[#This Row],[Price]]/Table13467[[#This Row],[Age]]</f>
        <v>541.66666666666663</v>
      </c>
      <c r="J26" s="3">
        <f ca="1">Table13467[[#This Row],[Price/age]]/Table13467[[#This Row],[price/mileage]]</f>
        <v>21916.666666666664</v>
      </c>
      <c r="K26">
        <f ca="1">IF(YEAR(TODAY())=Table13467[[#This Row],[year]],0.8,YEAR(TODAY())-Table13467[[#This Row],[year]])</f>
        <v>12</v>
      </c>
      <c r="L2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0.814      -1,208</v>
      </c>
      <c r="M26" s="4">
        <f t="array" aca="1" ref="M26" ca="1">EXP(INDEX(LINEST(LN(Table13467[Price]),Table13467[Age]),1,2))*EXP(INDEX(LINEST(LN(Table13467[Price]),Table13467[Age]),1,1)*Table13467[[#This Row],[Age]])/Table13467[[#This Row],[Price]]</f>
        <v>1.7573452975651416</v>
      </c>
      <c r="N26" s="4">
        <f ca="1">Table13467[[#This Row],[Column1]]*VALUE(SUBSTITUTE(LEFT(Table13467[[#This Row],[normal price/real milage]],3),",",""))</f>
        <v>1.4058762380521133</v>
      </c>
      <c r="O26" s="4"/>
    </row>
    <row r="27" spans="1:15" x14ac:dyDescent="0.25">
      <c r="A27" s="1">
        <v>45081</v>
      </c>
      <c r="B27">
        <v>105</v>
      </c>
      <c r="C27" s="5">
        <v>9450</v>
      </c>
      <c r="D27">
        <v>2010</v>
      </c>
      <c r="E27" t="s">
        <v>110</v>
      </c>
      <c r="F27" t="s">
        <v>116</v>
      </c>
      <c r="G27">
        <v>203000</v>
      </c>
      <c r="H27" s="4">
        <f>Table13467[[#This Row],[Price]]/Table13467[[#This Row],[Mileage]]</f>
        <v>4.6551724137931037E-2</v>
      </c>
      <c r="I27" s="3">
        <f ca="1">Table13467[[#This Row],[Price]]/Table13467[[#This Row],[Age]]</f>
        <v>726.92307692307691</v>
      </c>
      <c r="J27" s="3">
        <f ca="1">Table13467[[#This Row],[Price/age]]/Table13467[[#This Row],[price/mileage]]</f>
        <v>15615.384615384613</v>
      </c>
      <c r="K27">
        <f ca="1">IF(YEAR(TODAY())=Table13467[[#This Row],[year]],0.8,YEAR(TODAY())-Table13467[[#This Row],[year]])</f>
        <v>13</v>
      </c>
      <c r="L2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1.366      3,460</v>
      </c>
      <c r="M27" s="4">
        <f t="array" aca="1" ref="M27" ca="1">EXP(INDEX(LINEST(LN(Table13467[Price]),Table13467[Age]),1,2))*EXP(INDEX(LINEST(LN(Table13467[Price]),Table13467[Age]),1,1)*Table13467[[#This Row],[Age]])/Table13467[[#This Row],[Price]]</f>
        <v>1.0742764451511551</v>
      </c>
      <c r="N27" s="4">
        <f ca="1">Table13467[[#This Row],[Column1]]*VALUE(SUBSTITUTE(LEFT(Table13467[[#This Row],[normal price/real milage]],3),",",""))</f>
        <v>1.3965593786965016</v>
      </c>
      <c r="O27" s="4"/>
    </row>
    <row r="28" spans="1:15" x14ac:dyDescent="0.25">
      <c r="A28" s="1">
        <v>45081</v>
      </c>
      <c r="B28">
        <v>85</v>
      </c>
      <c r="C28" s="5">
        <v>9995</v>
      </c>
      <c r="D28">
        <v>2009</v>
      </c>
      <c r="E28" t="s">
        <v>110</v>
      </c>
      <c r="F28" t="s">
        <v>112</v>
      </c>
      <c r="G28">
        <v>182000</v>
      </c>
      <c r="H28" s="4">
        <f>Table13467[[#This Row],[Price]]/Table13467[[#This Row],[Mileage]]</f>
        <v>5.491758241758242E-2</v>
      </c>
      <c r="I28" s="3">
        <f ca="1">Table13467[[#This Row],[Price]]/Table13467[[#This Row],[Age]]</f>
        <v>713.92857142857144</v>
      </c>
      <c r="J28" s="3">
        <f ca="1">Table13467[[#This Row],[Price/age]]/Table13467[[#This Row],[price/mileage]]</f>
        <v>13000</v>
      </c>
      <c r="K28">
        <f ca="1">IF(YEAR(TODAY())=Table13467[[#This Row],[year]],0.8,YEAR(TODAY())-Table13467[[#This Row],[year]])</f>
        <v>14</v>
      </c>
      <c r="L2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1.558      5,582</v>
      </c>
      <c r="M28" s="4">
        <f t="array" aca="1" ref="M28" ca="1">EXP(INDEX(LINEST(LN(Table13467[Price]),Table13467[Age]),1,2))*EXP(INDEX(LINEST(LN(Table13467[Price]),Table13467[Age]),1,1)*Table13467[[#This Row],[Age]])/Table13467[[#This Row],[Price]]</f>
        <v>0.90269796849665407</v>
      </c>
      <c r="N28" s="4">
        <f ca="1">Table13467[[#This Row],[Column1]]*VALUE(SUBSTITUTE(LEFT(Table13467[[#This Row],[normal price/real milage]],3),",",""))</f>
        <v>1.354046952744981</v>
      </c>
      <c r="O28" s="4"/>
    </row>
    <row r="29" spans="1:15" x14ac:dyDescent="0.25">
      <c r="A29" s="1">
        <v>45081</v>
      </c>
      <c r="B29">
        <v>31</v>
      </c>
      <c r="C29" s="5">
        <v>25500</v>
      </c>
      <c r="D29">
        <v>2018</v>
      </c>
      <c r="E29" t="s">
        <v>110</v>
      </c>
      <c r="F29" t="s">
        <v>116</v>
      </c>
      <c r="G29">
        <v>40000</v>
      </c>
      <c r="H29" s="4">
        <f>Table13467[[#This Row],[Price]]/Table13467[[#This Row],[Mileage]]</f>
        <v>0.63749999999999996</v>
      </c>
      <c r="I29" s="3">
        <f ca="1">Table13467[[#This Row],[Price]]/Table13467[[#This Row],[Age]]</f>
        <v>5100</v>
      </c>
      <c r="J29" s="3">
        <f ca="1">Table13467[[#This Row],[Price/age]]/Table13467[[#This Row],[price/mileage]]</f>
        <v>8000.0000000000009</v>
      </c>
      <c r="K29">
        <f ca="1">IF(YEAR(TODAY())=Table13467[[#This Row],[year]],0.8,YEAR(TODAY())-Table13467[[#This Row],[year]])</f>
        <v>5</v>
      </c>
      <c r="L2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1.318      8,106</v>
      </c>
      <c r="M29" s="4">
        <f t="array" aca="1" ref="M29" ca="1">EXP(INDEX(LINEST(LN(Table13467[Price]),Table13467[Age]),1,2))*EXP(INDEX(LINEST(LN(Table13467[Price]),Table13467[Age]),1,1)*Table13467[[#This Row],[Age]])/Table13467[[#This Row],[Price]]</f>
        <v>1.0227946985777805</v>
      </c>
      <c r="N29" s="4">
        <f ca="1">Table13467[[#This Row],[Column1]]*VALUE(SUBSTITUTE(LEFT(Table13467[[#This Row],[normal price/real milage]],3),",",""))</f>
        <v>1.3296331081511148</v>
      </c>
      <c r="O29" s="4"/>
    </row>
    <row r="30" spans="1:15" x14ac:dyDescent="0.25">
      <c r="A30" s="1">
        <v>45081</v>
      </c>
      <c r="B30">
        <v>149</v>
      </c>
      <c r="C30" s="5">
        <v>9500</v>
      </c>
      <c r="D30">
        <v>2009</v>
      </c>
      <c r="E30" t="s">
        <v>157</v>
      </c>
      <c r="F30" t="s">
        <v>158</v>
      </c>
      <c r="G30">
        <v>196000</v>
      </c>
      <c r="H30" s="4">
        <f>Table13467[[#This Row],[Price]]/Table13467[[#This Row],[Mileage]]</f>
        <v>4.8469387755102039E-2</v>
      </c>
      <c r="I30" s="3">
        <f ca="1">Table13467[[#This Row],[Price]]/Table13467[[#This Row],[Age]]</f>
        <v>678.57142857142856</v>
      </c>
      <c r="J30" s="3">
        <f ca="1">Table13467[[#This Row],[Price/age]]/Table13467[[#This Row],[price/mileage]]</f>
        <v>14000</v>
      </c>
      <c r="K30">
        <f ca="1">IF(YEAR(TODAY())=Table13467[[#This Row],[year]],0.8,YEAR(TODAY())-Table13467[[#This Row],[year]])</f>
        <v>14</v>
      </c>
      <c r="L3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1.453      4,299</v>
      </c>
      <c r="M30" s="4">
        <f t="array" aca="1" ref="M30" ca="1">EXP(INDEX(LINEST(LN(Table13467[Price]),Table13467[Age]),1,2))*EXP(INDEX(LINEST(LN(Table13467[Price]),Table13467[Age]),1,1)*Table13467[[#This Row],[Age]])/Table13467[[#This Row],[Price]]</f>
        <v>0.94973328369726928</v>
      </c>
      <c r="N30" s="4">
        <f ca="1">Table13467[[#This Row],[Column1]]*VALUE(SUBSTITUTE(LEFT(Table13467[[#This Row],[normal price/real milage]],3),",",""))</f>
        <v>1.3296265971761769</v>
      </c>
      <c r="O30" s="4"/>
    </row>
    <row r="31" spans="1:15" x14ac:dyDescent="0.25">
      <c r="A31" s="1">
        <v>45081</v>
      </c>
      <c r="B31">
        <v>17</v>
      </c>
      <c r="C31" s="5">
        <v>16150</v>
      </c>
      <c r="D31">
        <v>2014</v>
      </c>
      <c r="E31" t="s">
        <v>110</v>
      </c>
      <c r="F31" t="s">
        <v>116</v>
      </c>
      <c r="G31">
        <v>128000</v>
      </c>
      <c r="H31" s="4">
        <f>Table13467[[#This Row],[Price]]/Table13467[[#This Row],[Mileage]]</f>
        <v>0.12617187499999999</v>
      </c>
      <c r="I31" s="3">
        <f ca="1">Table13467[[#This Row],[Price]]/Table13467[[#This Row],[Age]]</f>
        <v>1794.4444444444443</v>
      </c>
      <c r="J31" s="3">
        <f ca="1">Table13467[[#This Row],[Price/age]]/Table13467[[#This Row],[price/mileage]]</f>
        <v>14222.222222222223</v>
      </c>
      <c r="K31">
        <f ca="1">IF(YEAR(TODAY())=Table13467[[#This Row],[year]],0.8,YEAR(TODAY())-Table13467[[#This Row],[year]])</f>
        <v>9</v>
      </c>
      <c r="L3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1.389      6,283</v>
      </c>
      <c r="M31" s="4">
        <f t="array" aca="1" ref="M31" ca="1">EXP(INDEX(LINEST(LN(Table13467[Price]),Table13467[Age]),1,2))*EXP(INDEX(LINEST(LN(Table13467[Price]),Table13467[Age]),1,1)*Table13467[[#This Row],[Age]])/Table13467[[#This Row],[Price]]</f>
        <v>1.0075479614249718</v>
      </c>
      <c r="N31" s="4">
        <f ca="1">Table13467[[#This Row],[Column1]]*VALUE(SUBSTITUTE(LEFT(Table13467[[#This Row],[normal price/real milage]],3),",",""))</f>
        <v>1.3098123498524634</v>
      </c>
      <c r="O31" s="4"/>
    </row>
    <row r="32" spans="1:15" x14ac:dyDescent="0.25">
      <c r="A32" s="1">
        <v>45081</v>
      </c>
      <c r="B32">
        <v>122</v>
      </c>
      <c r="C32" s="5">
        <v>13999</v>
      </c>
      <c r="D32">
        <v>2011</v>
      </c>
      <c r="E32" t="s">
        <v>110</v>
      </c>
      <c r="F32" t="s">
        <v>116</v>
      </c>
      <c r="G32">
        <v>122000</v>
      </c>
      <c r="H32" s="4">
        <f>Table13467[[#This Row],[Price]]/Table13467[[#This Row],[Mileage]]</f>
        <v>0.11474590163934426</v>
      </c>
      <c r="I32" s="3">
        <f ca="1">Table13467[[#This Row],[Price]]/Table13467[[#This Row],[Age]]</f>
        <v>1166.5833333333333</v>
      </c>
      <c r="J32" s="3">
        <f ca="1">Table13467[[#This Row],[Price/age]]/Table13467[[#This Row],[price/mileage]]</f>
        <v>10166.666666666666</v>
      </c>
      <c r="K32">
        <f ca="1">IF(YEAR(TODAY())=Table13467[[#This Row],[year]],0.8,YEAR(TODAY())-Table13467[[#This Row],[year]])</f>
        <v>12</v>
      </c>
      <c r="L3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1.657      9,196</v>
      </c>
      <c r="M32" s="4">
        <f t="array" aca="1" ref="M32" ca="1">EXP(INDEX(LINEST(LN(Table13467[Price]),Table13467[Age]),1,2))*EXP(INDEX(LINEST(LN(Table13467[Price]),Table13467[Age]),1,1)*Table13467[[#This Row],[Age]])/Table13467[[#This Row],[Price]]</f>
        <v>0.81596860019811568</v>
      </c>
      <c r="N32" s="4">
        <f ca="1">Table13467[[#This Row],[Column1]]*VALUE(SUBSTITUTE(LEFT(Table13467[[#This Row],[normal price/real milage]],3),",",""))</f>
        <v>1.3055497603169852</v>
      </c>
      <c r="O32" s="4"/>
    </row>
    <row r="33" spans="1:15" x14ac:dyDescent="0.25">
      <c r="A33" s="1">
        <v>45081</v>
      </c>
      <c r="B33">
        <v>5</v>
      </c>
      <c r="C33" s="5">
        <v>14950</v>
      </c>
      <c r="D33">
        <v>2013</v>
      </c>
      <c r="E33" t="s">
        <v>110</v>
      </c>
      <c r="F33" t="s">
        <v>116</v>
      </c>
      <c r="G33">
        <v>146000</v>
      </c>
      <c r="H33" s="4">
        <f>Table13467[[#This Row],[Price]]/Table13467[[#This Row],[Mileage]]</f>
        <v>0.1023972602739726</v>
      </c>
      <c r="I33" s="3">
        <f ca="1">Table13467[[#This Row],[Price]]/Table13467[[#This Row],[Age]]</f>
        <v>1495</v>
      </c>
      <c r="J33" s="3">
        <f ca="1">Table13467[[#This Row],[Price/age]]/Table13467[[#This Row],[price/mileage]]</f>
        <v>14600</v>
      </c>
      <c r="K33">
        <f ca="1">IF(YEAR(TODAY())=Table13467[[#This Row],[year]],0.8,YEAR(TODAY())-Table13467[[#This Row],[year]])</f>
        <v>10</v>
      </c>
      <c r="L3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1.348      5,197</v>
      </c>
      <c r="M33" s="4">
        <f t="array" aca="1" ref="M33" ca="1">EXP(INDEX(LINEST(LN(Table13467[Price]),Table13467[Age]),1,2))*EXP(INDEX(LINEST(LN(Table13467[Price]),Table13467[Age]),1,1)*Table13467[[#This Row],[Age]])/Table13467[[#This Row],[Price]]</f>
        <v>0.96732957113169704</v>
      </c>
      <c r="N33" s="4">
        <f ca="1">Table13467[[#This Row],[Column1]]*VALUE(SUBSTITUTE(LEFT(Table13467[[#This Row],[normal price/real milage]],3),",",""))</f>
        <v>1.2575284424712061</v>
      </c>
      <c r="O33" s="4"/>
    </row>
    <row r="34" spans="1:15" x14ac:dyDescent="0.25">
      <c r="A34" s="1">
        <v>45081</v>
      </c>
      <c r="B34">
        <v>20</v>
      </c>
      <c r="C34" s="5">
        <v>15950</v>
      </c>
      <c r="D34">
        <v>2014</v>
      </c>
      <c r="E34" t="s">
        <v>110</v>
      </c>
      <c r="F34" t="s">
        <v>116</v>
      </c>
      <c r="G34">
        <v>150000</v>
      </c>
      <c r="H34" s="4">
        <f>Table13467[[#This Row],[Price]]/Table13467[[#This Row],[Mileage]]</f>
        <v>0.10633333333333334</v>
      </c>
      <c r="I34" s="3">
        <f ca="1">Table13467[[#This Row],[Price]]/Table13467[[#This Row],[Age]]</f>
        <v>1772.2222222222222</v>
      </c>
      <c r="J34" s="3">
        <f ca="1">Table13467[[#This Row],[Price/age]]/Table13467[[#This Row],[price/mileage]]</f>
        <v>16666.666666666664</v>
      </c>
      <c r="K34">
        <f ca="1">IF(YEAR(TODAY())=Table13467[[#This Row],[year]],0.8,YEAR(TODAY())-Table13467[[#This Row],[year]])</f>
        <v>9</v>
      </c>
      <c r="L3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1.231      3,690</v>
      </c>
      <c r="M34" s="4">
        <f t="array" aca="1" ref="M34" ca="1">EXP(INDEX(LINEST(LN(Table13467[Price]),Table13467[Age]),1,2))*EXP(INDEX(LINEST(LN(Table13467[Price]),Table13467[Age]),1,1)*Table13467[[#This Row],[Age]])/Table13467[[#This Row],[Price]]</f>
        <v>1.0201817916622755</v>
      </c>
      <c r="N34" s="4">
        <f ca="1">Table13467[[#This Row],[Column1]]*VALUE(SUBSTITUTE(LEFT(Table13467[[#This Row],[normal price/real milage]],3),",",""))</f>
        <v>1.2242181499947307</v>
      </c>
      <c r="O34" s="4"/>
    </row>
    <row r="35" spans="1:15" x14ac:dyDescent="0.25">
      <c r="A35" s="1">
        <v>45081</v>
      </c>
      <c r="B35">
        <v>128</v>
      </c>
      <c r="C35" s="5">
        <v>16800</v>
      </c>
      <c r="D35">
        <v>2012</v>
      </c>
      <c r="E35" t="s">
        <v>110</v>
      </c>
      <c r="F35" t="s">
        <v>127</v>
      </c>
      <c r="G35">
        <v>92000</v>
      </c>
      <c r="H35" s="4">
        <f>Table13467[[#This Row],[Price]]/Table13467[[#This Row],[Mileage]]</f>
        <v>0.18260869565217391</v>
      </c>
      <c r="I35" s="3">
        <f ca="1">Table13467[[#This Row],[Price]]/Table13467[[#This Row],[Age]]</f>
        <v>1527.2727272727273</v>
      </c>
      <c r="J35" s="3">
        <f ca="1">Table13467[[#This Row],[Price/age]]/Table13467[[#This Row],[price/mileage]]</f>
        <v>8363.636363636364</v>
      </c>
      <c r="K35">
        <f ca="1">IF(YEAR(TODAY())=Table13467[[#This Row],[year]],0.8,YEAR(TODAY())-Table13467[[#This Row],[year]])</f>
        <v>11</v>
      </c>
      <c r="L3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1.607      10,204</v>
      </c>
      <c r="M35" s="4">
        <f t="array" aca="1" ref="M35" ca="1">EXP(INDEX(LINEST(LN(Table13467[Price]),Table13467[Age]),1,2))*EXP(INDEX(LINEST(LN(Table13467[Price]),Table13467[Age]),1,1)*Table13467[[#This Row],[Age]])/Table13467[[#This Row],[Price]]</f>
        <v>0.76503935546199597</v>
      </c>
      <c r="N35" s="4">
        <f ca="1">Table13467[[#This Row],[Column1]]*VALUE(SUBSTITUTE(LEFT(Table13467[[#This Row],[normal price/real milage]],3),",",""))</f>
        <v>1.2240629687391937</v>
      </c>
      <c r="O35" s="4"/>
    </row>
    <row r="36" spans="1:15" x14ac:dyDescent="0.25">
      <c r="A36" s="1">
        <v>45081</v>
      </c>
      <c r="B36">
        <v>16</v>
      </c>
      <c r="C36" s="5">
        <v>34900</v>
      </c>
      <c r="D36">
        <v>2022</v>
      </c>
      <c r="E36" t="s">
        <v>122</v>
      </c>
      <c r="F36" t="s">
        <v>116</v>
      </c>
      <c r="G36">
        <v>6000</v>
      </c>
      <c r="H36" s="4">
        <f>Table13467[[#This Row],[Price]]/Table13467[[#This Row],[Mileage]]</f>
        <v>5.8166666666666664</v>
      </c>
      <c r="I36" s="3">
        <f ca="1">Table13467[[#This Row],[Price]]/Table13467[[#This Row],[Age]]</f>
        <v>34900</v>
      </c>
      <c r="J36" s="3">
        <f ca="1">Table13467[[#This Row],[Price/age]]/Table13467[[#This Row],[price/mileage]]</f>
        <v>6000</v>
      </c>
      <c r="K36">
        <f ca="1">IF(YEAR(TODAY())=Table13467[[#This Row],[year]],0.8,YEAR(TODAY())-Table13467[[#This Row],[year]])</f>
        <v>1</v>
      </c>
      <c r="L3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1.087      3,023</v>
      </c>
      <c r="M36" s="4">
        <f t="array" aca="1" ref="M36" ca="1">EXP(INDEX(LINEST(LN(Table13467[Price]),Table13467[Age]),1,2))*EXP(INDEX(LINEST(LN(Table13467[Price]),Table13467[Age]),1,1)*Table13467[[#This Row],[Age]])/Table13467[[#This Row],[Price]]</f>
        <v>1.1978256677637993</v>
      </c>
      <c r="N36" s="4">
        <f ca="1">Table13467[[#This Row],[Column1]]*VALUE(SUBSTITUTE(LEFT(Table13467[[#This Row],[normal price/real milage]],3),",",""))</f>
        <v>1.1978256677637993</v>
      </c>
      <c r="O36" s="4"/>
    </row>
    <row r="37" spans="1:15" x14ac:dyDescent="0.25">
      <c r="A37" s="1">
        <v>45081</v>
      </c>
      <c r="B37">
        <v>72</v>
      </c>
      <c r="C37" s="5">
        <v>12000</v>
      </c>
      <c r="D37">
        <v>2012</v>
      </c>
      <c r="E37" t="s">
        <v>110</v>
      </c>
      <c r="F37" t="s">
        <v>116</v>
      </c>
      <c r="G37">
        <v>198000</v>
      </c>
      <c r="H37" s="4">
        <f>Table13467[[#This Row],[Price]]/Table13467[[#This Row],[Mileage]]</f>
        <v>6.0606060606060608E-2</v>
      </c>
      <c r="I37" s="3">
        <f ca="1">Table13467[[#This Row],[Price]]/Table13467[[#This Row],[Age]]</f>
        <v>1090.909090909091</v>
      </c>
      <c r="J37" s="3">
        <f ca="1">Table13467[[#This Row],[Price/age]]/Table13467[[#This Row],[price/mileage]]</f>
        <v>18000</v>
      </c>
      <c r="K37">
        <f ca="1">IF(YEAR(TODAY())=Table13467[[#This Row],[year]],0.8,YEAR(TODAY())-Table13467[[#This Row],[year]])</f>
        <v>11</v>
      </c>
      <c r="L3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1.129      1,545</v>
      </c>
      <c r="M37" s="4">
        <f t="array" aca="1" ref="M37" ca="1">EXP(INDEX(LINEST(LN(Table13467[Price]),Table13467[Age]),1,2))*EXP(INDEX(LINEST(LN(Table13467[Price]),Table13467[Age]),1,1)*Table13467[[#This Row],[Age]])/Table13467[[#This Row],[Price]]</f>
        <v>1.0710550976467943</v>
      </c>
      <c r="N37" s="4">
        <f ca="1">Table13467[[#This Row],[Column1]]*VALUE(SUBSTITUTE(LEFT(Table13467[[#This Row],[normal price/real milage]],3),",",""))</f>
        <v>1.1781606074114739</v>
      </c>
      <c r="O37" s="4"/>
    </row>
    <row r="38" spans="1:15" x14ac:dyDescent="0.25">
      <c r="A38" s="1">
        <v>45081</v>
      </c>
      <c r="B38">
        <v>141</v>
      </c>
      <c r="C38" s="5">
        <v>14200</v>
      </c>
      <c r="D38">
        <v>2012</v>
      </c>
      <c r="E38" t="s">
        <v>110</v>
      </c>
      <c r="F38" t="s">
        <v>116</v>
      </c>
      <c r="G38">
        <v>158000</v>
      </c>
      <c r="H38" s="4">
        <f>Table13467[[#This Row],[Price]]/Table13467[[#This Row],[Mileage]]</f>
        <v>8.9873417721518981E-2</v>
      </c>
      <c r="I38" s="3">
        <f ca="1">Table13467[[#This Row],[Price]]/Table13467[[#This Row],[Age]]</f>
        <v>1290.909090909091</v>
      </c>
      <c r="J38" s="3">
        <f ca="1">Table13467[[#This Row],[Price/age]]/Table13467[[#This Row],[price/mileage]]</f>
        <v>14363.636363636366</v>
      </c>
      <c r="K38">
        <f ca="1">IF(YEAR(TODAY())=Table13467[[#This Row],[year]],0.8,YEAR(TODAY())-Table13467[[#This Row],[year]])</f>
        <v>11</v>
      </c>
      <c r="L3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1.312      4,424</v>
      </c>
      <c r="M38" s="4">
        <f t="array" aca="1" ref="M38" ca="1">EXP(INDEX(LINEST(LN(Table13467[Price]),Table13467[Age]),1,2))*EXP(INDEX(LINEST(LN(Table13467[Price]),Table13467[Age]),1,1)*Table13467[[#This Row],[Age]])/Table13467[[#This Row],[Price]]</f>
        <v>0.90511698392686846</v>
      </c>
      <c r="N38" s="4">
        <f ca="1">Table13467[[#This Row],[Column1]]*VALUE(SUBSTITUTE(LEFT(Table13467[[#This Row],[normal price/real milage]],3),",",""))</f>
        <v>1.1766520791049291</v>
      </c>
      <c r="O38" s="4"/>
    </row>
    <row r="39" spans="1:15" x14ac:dyDescent="0.25">
      <c r="A39" s="1">
        <v>45081</v>
      </c>
      <c r="B39">
        <v>96</v>
      </c>
      <c r="C39" s="5">
        <v>19500</v>
      </c>
      <c r="D39">
        <v>2016</v>
      </c>
      <c r="E39" t="s">
        <v>110</v>
      </c>
      <c r="F39" t="s">
        <v>116</v>
      </c>
      <c r="G39">
        <v>125000</v>
      </c>
      <c r="H39" s="4">
        <f>Table13467[[#This Row],[Price]]/Table13467[[#This Row],[Mileage]]</f>
        <v>0.156</v>
      </c>
      <c r="I39" s="3">
        <f ca="1">Table13467[[#This Row],[Price]]/Table13467[[#This Row],[Age]]</f>
        <v>2785.7142857142858</v>
      </c>
      <c r="J39" s="3">
        <f ca="1">Table13467[[#This Row],[Price/age]]/Table13467[[#This Row],[price/mileage]]</f>
        <v>17857.142857142859</v>
      </c>
      <c r="K39">
        <f ca="1">IF(YEAR(TODAY())=Table13467[[#This Row],[year]],0.8,YEAR(TODAY())-Table13467[[#This Row],[year]])</f>
        <v>7</v>
      </c>
      <c r="L3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1.170      3,314</v>
      </c>
      <c r="M39" s="4">
        <f t="array" aca="1" ref="M39" ca="1">EXP(INDEX(LINEST(LN(Table13467[Price]),Table13467[Age]),1,2))*EXP(INDEX(LINEST(LN(Table13467[Price]),Table13467[Age]),1,1)*Table13467[[#This Row],[Age]])/Table13467[[#This Row],[Price]]</f>
        <v>1.0564497402262401</v>
      </c>
      <c r="N39" s="4">
        <f ca="1">Table13467[[#This Row],[Column1]]*VALUE(SUBSTITUTE(LEFT(Table13467[[#This Row],[normal price/real milage]],3),",",""))</f>
        <v>1.1620947142488642</v>
      </c>
      <c r="O39" s="4"/>
    </row>
    <row r="40" spans="1:15" x14ac:dyDescent="0.25">
      <c r="A40" s="1">
        <v>45081</v>
      </c>
      <c r="B40">
        <v>24</v>
      </c>
      <c r="C40" s="5">
        <v>21994</v>
      </c>
      <c r="D40">
        <v>2017</v>
      </c>
      <c r="E40" t="s">
        <v>126</v>
      </c>
      <c r="F40" t="s">
        <v>116</v>
      </c>
      <c r="G40">
        <v>110000</v>
      </c>
      <c r="H40" s="4">
        <f>Table13467[[#This Row],[Price]]/Table13467[[#This Row],[Mileage]]</f>
        <v>0.19994545454545454</v>
      </c>
      <c r="I40" s="3">
        <f ca="1">Table13467[[#This Row],[Price]]/Table13467[[#This Row],[Age]]</f>
        <v>3665.6666666666665</v>
      </c>
      <c r="J40" s="3">
        <f ca="1">Table13467[[#This Row],[Price/age]]/Table13467[[#This Row],[price/mileage]]</f>
        <v>18333.333333333332</v>
      </c>
      <c r="K40">
        <f ca="1">IF(YEAR(TODAY())=Table13467[[#This Row],[year]],0.8,YEAR(TODAY())-Table13467[[#This Row],[year]])</f>
        <v>6</v>
      </c>
      <c r="L4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1.124      2,724</v>
      </c>
      <c r="M40" s="4">
        <f t="array" aca="1" ref="M40" ca="1">EXP(INDEX(LINEST(LN(Table13467[Price]),Table13467[Age]),1,2))*EXP(INDEX(LINEST(LN(Table13467[Price]),Table13467[Age]),1,1)*Table13467[[#This Row],[Age]])/Table13467[[#This Row],[Price]]</f>
        <v>1.0539058851007737</v>
      </c>
      <c r="N40" s="4">
        <f ca="1">Table13467[[#This Row],[Column1]]*VALUE(SUBSTITUTE(LEFT(Table13467[[#This Row],[normal price/real milage]],3),",",""))</f>
        <v>1.1592964736108511</v>
      </c>
      <c r="O40" s="4"/>
    </row>
    <row r="41" spans="1:15" x14ac:dyDescent="0.25">
      <c r="A41" s="1">
        <v>45081</v>
      </c>
      <c r="B41">
        <v>45</v>
      </c>
      <c r="C41" s="5">
        <v>17999</v>
      </c>
      <c r="D41">
        <v>2018</v>
      </c>
      <c r="E41" t="s">
        <v>110</v>
      </c>
      <c r="F41" t="s">
        <v>116</v>
      </c>
      <c r="G41">
        <v>188000</v>
      </c>
      <c r="H41" s="4">
        <f>Table13467[[#This Row],[Price]]/Table13467[[#This Row],[Mileage]]</f>
        <v>9.5739361702127657E-2</v>
      </c>
      <c r="I41" s="3">
        <f ca="1">Table13467[[#This Row],[Price]]/Table13467[[#This Row],[Age]]</f>
        <v>3599.8</v>
      </c>
      <c r="J41" s="3">
        <f ca="1">Table13467[[#This Row],[Price/age]]/Table13467[[#This Row],[price/mileage]]</f>
        <v>37600</v>
      </c>
      <c r="K41">
        <f ca="1">IF(YEAR(TODAY())=Table13467[[#This Row],[year]],0.8,YEAR(TODAY())-Table13467[[#This Row],[year]])</f>
        <v>5</v>
      </c>
      <c r="L4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0.823      -3,184</v>
      </c>
      <c r="M41" s="4">
        <f t="array" aca="1" ref="M41" ca="1">EXP(INDEX(LINEST(LN(Table13467[Price]),Table13467[Age]),1,2))*EXP(INDEX(LINEST(LN(Table13467[Price]),Table13467[Age]),1,1)*Table13467[[#This Row],[Age]])/Table13467[[#This Row],[Price]]</f>
        <v>1.4490396585217735</v>
      </c>
      <c r="N41" s="4">
        <f ca="1">Table13467[[#This Row],[Column1]]*VALUE(SUBSTITUTE(LEFT(Table13467[[#This Row],[normal price/real milage]],3),",",""))</f>
        <v>1.1592317268174188</v>
      </c>
      <c r="O41" s="4"/>
    </row>
    <row r="42" spans="1:15" x14ac:dyDescent="0.25">
      <c r="A42" s="1">
        <v>45081</v>
      </c>
      <c r="B42">
        <v>12</v>
      </c>
      <c r="C42" s="5">
        <v>24000</v>
      </c>
      <c r="D42">
        <v>2017</v>
      </c>
      <c r="E42" t="s">
        <v>110</v>
      </c>
      <c r="F42" t="s">
        <v>120</v>
      </c>
      <c r="G42">
        <v>72000</v>
      </c>
      <c r="H42" s="4">
        <f>Table13467[[#This Row],[Price]]/Table13467[[#This Row],[Mileage]]</f>
        <v>0.33333333333333331</v>
      </c>
      <c r="I42" s="3">
        <f ca="1">Table13467[[#This Row],[Price]]/Table13467[[#This Row],[Age]]</f>
        <v>4000</v>
      </c>
      <c r="J42" s="3">
        <f ca="1">Table13467[[#This Row],[Price/age]]/Table13467[[#This Row],[price/mileage]]</f>
        <v>12000</v>
      </c>
      <c r="K42">
        <f ca="1">IF(YEAR(TODAY())=Table13467[[#This Row],[year]],0.8,YEAR(TODAY())-Table13467[[#This Row],[year]])</f>
        <v>6</v>
      </c>
      <c r="L4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1.231      5,543</v>
      </c>
      <c r="M42" s="4">
        <f t="array" aca="1" ref="M42" ca="1">EXP(INDEX(LINEST(LN(Table13467[Price]),Table13467[Age]),1,2))*EXP(INDEX(LINEST(LN(Table13467[Price]),Table13467[Age]),1,1)*Table13467[[#This Row],[Age]])/Table13467[[#This Row],[Price]]</f>
        <v>0.96581691820443394</v>
      </c>
      <c r="N42" s="4">
        <f ca="1">Table13467[[#This Row],[Column1]]*VALUE(SUBSTITUTE(LEFT(Table13467[[#This Row],[normal price/real milage]],3),",",""))</f>
        <v>1.1589803018453206</v>
      </c>
      <c r="O42" s="4"/>
    </row>
    <row r="43" spans="1:15" x14ac:dyDescent="0.25">
      <c r="A43" s="1">
        <v>45081</v>
      </c>
      <c r="B43">
        <v>65</v>
      </c>
      <c r="C43" s="5">
        <v>11900</v>
      </c>
      <c r="D43">
        <v>2011</v>
      </c>
      <c r="E43" t="s">
        <v>110</v>
      </c>
      <c r="F43" t="s">
        <v>116</v>
      </c>
      <c r="G43">
        <v>187000</v>
      </c>
      <c r="H43" s="4">
        <f>Table13467[[#This Row],[Price]]/Table13467[[#This Row],[Mileage]]</f>
        <v>6.363636363636363E-2</v>
      </c>
      <c r="I43" s="3">
        <f ca="1">Table13467[[#This Row],[Price]]/Table13467[[#This Row],[Age]]</f>
        <v>991.66666666666663</v>
      </c>
      <c r="J43" s="3">
        <f ca="1">Table13467[[#This Row],[Price/age]]/Table13467[[#This Row],[price/mileage]]</f>
        <v>15583.333333333334</v>
      </c>
      <c r="K43">
        <f ca="1">IF(YEAR(TODAY())=Table13467[[#This Row],[year]],0.8,YEAR(TODAY())-Table13467[[#This Row],[year]])</f>
        <v>12</v>
      </c>
      <c r="L4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1.256      3,042</v>
      </c>
      <c r="M43" s="4">
        <f t="array" aca="1" ref="M43" ca="1">EXP(INDEX(LINEST(LN(Table13467[Price]),Table13467[Age]),1,2))*EXP(INDEX(LINEST(LN(Table13467[Price]),Table13467[Age]),1,1)*Table13467[[#This Row],[Age]])/Table13467[[#This Row],[Price]]</f>
        <v>0.95989449026667406</v>
      </c>
      <c r="N43" s="4">
        <f ca="1">Table13467[[#This Row],[Column1]]*VALUE(SUBSTITUTE(LEFT(Table13467[[#This Row],[normal price/real milage]],3),",",""))</f>
        <v>1.1518733883200087</v>
      </c>
      <c r="O43" s="4"/>
    </row>
    <row r="44" spans="1:15" x14ac:dyDescent="0.25">
      <c r="A44" s="1">
        <v>45081</v>
      </c>
      <c r="B44">
        <v>77</v>
      </c>
      <c r="C44" s="5">
        <v>19888</v>
      </c>
      <c r="D44">
        <v>2016</v>
      </c>
      <c r="E44" t="s">
        <v>110</v>
      </c>
      <c r="F44" t="s">
        <v>112</v>
      </c>
      <c r="G44">
        <v>118000</v>
      </c>
      <c r="H44" s="4">
        <f>Table13467[[#This Row],[Price]]/Table13467[[#This Row],[Mileage]]</f>
        <v>0.16854237288135593</v>
      </c>
      <c r="I44" s="3">
        <f ca="1">Table13467[[#This Row],[Price]]/Table13467[[#This Row],[Age]]</f>
        <v>2841.1428571428573</v>
      </c>
      <c r="J44" s="3">
        <f ca="1">Table13467[[#This Row],[Price/age]]/Table13467[[#This Row],[price/mileage]]</f>
        <v>16857.142857142859</v>
      </c>
      <c r="K44">
        <f ca="1">IF(YEAR(TODAY())=Table13467[[#This Row],[year]],0.8,YEAR(TODAY())-Table13467[[#This Row],[year]])</f>
        <v>7</v>
      </c>
      <c r="L4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1.192      3,814</v>
      </c>
      <c r="M44" s="4">
        <f t="array" aca="1" ref="M44" ca="1">EXP(INDEX(LINEST(LN(Table13467[Price]),Table13467[Age]),1,2))*EXP(INDEX(LINEST(LN(Table13467[Price]),Table13467[Age]),1,1)*Table13467[[#This Row],[Age]])/Table13467[[#This Row],[Price]]</f>
        <v>1.0358391962194127</v>
      </c>
      <c r="N44" s="4">
        <f ca="1">Table13467[[#This Row],[Column1]]*VALUE(SUBSTITUTE(LEFT(Table13467[[#This Row],[normal price/real milage]],3),",",""))</f>
        <v>1.1394231158413541</v>
      </c>
      <c r="O44" s="4"/>
    </row>
    <row r="45" spans="1:15" x14ac:dyDescent="0.25">
      <c r="A45" s="1">
        <v>45081</v>
      </c>
      <c r="B45">
        <v>3</v>
      </c>
      <c r="C45" s="5">
        <v>16500</v>
      </c>
      <c r="D45">
        <v>2013</v>
      </c>
      <c r="E45" t="s">
        <v>110</v>
      </c>
      <c r="F45" t="s">
        <v>114</v>
      </c>
      <c r="G45">
        <v>135000</v>
      </c>
      <c r="H45" s="4">
        <f>Table13467[[#This Row],[Price]]/Table13467[[#This Row],[Mileage]]</f>
        <v>0.12222222222222222</v>
      </c>
      <c r="I45" s="3">
        <f ca="1">Table13467[[#This Row],[Price]]/Table13467[[#This Row],[Age]]</f>
        <v>1650</v>
      </c>
      <c r="J45" s="3">
        <f ca="1">Table13467[[#This Row],[Price/age]]/Table13467[[#This Row],[price/mileage]]</f>
        <v>13500</v>
      </c>
      <c r="K45">
        <f ca="1">IF(YEAR(TODAY())=Table13467[[#This Row],[year]],0.8,YEAR(TODAY())-Table13467[[#This Row],[year]])</f>
        <v>10</v>
      </c>
      <c r="L4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1.306      5,044</v>
      </c>
      <c r="M45" s="4">
        <f t="array" aca="1" ref="M45" ca="1">EXP(INDEX(LINEST(LN(Table13467[Price]),Table13467[Age]),1,2))*EXP(INDEX(LINEST(LN(Table13467[Price]),Table13467[Age]),1,1)*Table13467[[#This Row],[Age]])/Table13467[[#This Row],[Price]]</f>
        <v>0.87645921747993161</v>
      </c>
      <c r="N45" s="4">
        <f ca="1">Table13467[[#This Row],[Column1]]*VALUE(SUBSTITUTE(LEFT(Table13467[[#This Row],[normal price/real milage]],3),",",""))</f>
        <v>1.1393969827239112</v>
      </c>
      <c r="O45" s="4"/>
    </row>
    <row r="46" spans="1:15" x14ac:dyDescent="0.25">
      <c r="A46" s="1">
        <v>45081</v>
      </c>
      <c r="B46">
        <v>11</v>
      </c>
      <c r="C46" s="5">
        <v>22500</v>
      </c>
      <c r="D46">
        <v>2017</v>
      </c>
      <c r="E46" t="s">
        <v>110</v>
      </c>
      <c r="F46" t="s">
        <v>112</v>
      </c>
      <c r="G46">
        <v>105000</v>
      </c>
      <c r="H46" s="4">
        <f>Table13467[[#This Row],[Price]]/Table13467[[#This Row],[Mileage]]</f>
        <v>0.21428571428571427</v>
      </c>
      <c r="I46" s="3">
        <f ca="1">Table13467[[#This Row],[Price]]/Table13467[[#This Row],[Age]]</f>
        <v>3750</v>
      </c>
      <c r="J46" s="3">
        <f ca="1">Table13467[[#This Row],[Price/age]]/Table13467[[#This Row],[price/mileage]]</f>
        <v>17500</v>
      </c>
      <c r="K46">
        <f ca="1">IF(YEAR(TODAY())=Table13467[[#This Row],[year]],0.8,YEAR(TODAY())-Table13467[[#This Row],[year]])</f>
        <v>6</v>
      </c>
      <c r="L4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1.127      2,853</v>
      </c>
      <c r="M46" s="4">
        <f t="array" aca="1" ref="M46" ca="1">EXP(INDEX(LINEST(LN(Table13467[Price]),Table13467[Age]),1,2))*EXP(INDEX(LINEST(LN(Table13467[Price]),Table13467[Age]),1,1)*Table13467[[#This Row],[Age]])/Table13467[[#This Row],[Price]]</f>
        <v>1.0302047127513962</v>
      </c>
      <c r="N46" s="4">
        <f ca="1">Table13467[[#This Row],[Column1]]*VALUE(SUBSTITUTE(LEFT(Table13467[[#This Row],[normal price/real milage]],3),",",""))</f>
        <v>1.1332251840265359</v>
      </c>
      <c r="O46" s="4"/>
    </row>
    <row r="47" spans="1:15" x14ac:dyDescent="0.25">
      <c r="A47" s="1">
        <v>45081</v>
      </c>
      <c r="B47">
        <v>147</v>
      </c>
      <c r="C47" s="5">
        <v>36997</v>
      </c>
      <c r="D47">
        <v>2022</v>
      </c>
      <c r="E47" t="s">
        <v>110</v>
      </c>
      <c r="F47" t="s">
        <v>116</v>
      </c>
      <c r="G47">
        <v>4000</v>
      </c>
      <c r="H47" s="4">
        <f>Table13467[[#This Row],[Price]]/Table13467[[#This Row],[Mileage]]</f>
        <v>9.24925</v>
      </c>
      <c r="I47" s="3">
        <f ca="1">Table13467[[#This Row],[Price]]/Table13467[[#This Row],[Age]]</f>
        <v>36997</v>
      </c>
      <c r="J47" s="3">
        <f ca="1">Table13467[[#This Row],[Price/age]]/Table13467[[#This Row],[price/mileage]]</f>
        <v>4000</v>
      </c>
      <c r="K47">
        <f ca="1">IF(YEAR(TODAY())=Table13467[[#This Row],[year]],0.8,YEAR(TODAY())-Table13467[[#This Row],[year]])</f>
        <v>1</v>
      </c>
      <c r="L4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1.032      1,180</v>
      </c>
      <c r="M47" s="4">
        <f t="array" aca="1" ref="M47" ca="1">EXP(INDEX(LINEST(LN(Table13467[Price]),Table13467[Age]),1,2))*EXP(INDEX(LINEST(LN(Table13467[Price]),Table13467[Age]),1,1)*Table13467[[#This Row],[Age]])/Table13467[[#This Row],[Price]]</f>
        <v>1.1299325838569774</v>
      </c>
      <c r="N47" s="4">
        <f ca="1">Table13467[[#This Row],[Column1]]*VALUE(SUBSTITUTE(LEFT(Table13467[[#This Row],[normal price/real milage]],3),",",""))</f>
        <v>1.1299325838569774</v>
      </c>
      <c r="O47" s="4"/>
    </row>
    <row r="48" spans="1:15" x14ac:dyDescent="0.25">
      <c r="A48" s="1">
        <v>45081</v>
      </c>
      <c r="B48">
        <v>34</v>
      </c>
      <c r="C48" s="5">
        <v>18999</v>
      </c>
      <c r="D48">
        <v>2017</v>
      </c>
      <c r="E48" t="s">
        <v>110</v>
      </c>
      <c r="F48" t="s">
        <v>116</v>
      </c>
      <c r="G48">
        <v>167000</v>
      </c>
      <c r="H48" s="4">
        <f>Table13467[[#This Row],[Price]]/Table13467[[#This Row],[Mileage]]</f>
        <v>0.11376646706586827</v>
      </c>
      <c r="I48" s="3">
        <f ca="1">Table13467[[#This Row],[Price]]/Table13467[[#This Row],[Age]]</f>
        <v>3166.5</v>
      </c>
      <c r="J48" s="3">
        <f ca="1">Table13467[[#This Row],[Price/age]]/Table13467[[#This Row],[price/mileage]]</f>
        <v>27833.333333333332</v>
      </c>
      <c r="K48">
        <f ca="1">IF(YEAR(TODAY())=Table13467[[#This Row],[year]],0.8,YEAR(TODAY())-Table13467[[#This Row],[year]])</f>
        <v>6</v>
      </c>
      <c r="L4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0.920      -1,518</v>
      </c>
      <c r="M48" s="4">
        <f t="array" aca="1" ref="M48" ca="1">EXP(INDEX(LINEST(LN(Table13467[Price]),Table13467[Age]),1,2))*EXP(INDEX(LINEST(LN(Table13467[Price]),Table13467[Age]),1,1)*Table13467[[#This Row],[Age]])/Table13467[[#This Row],[Price]]</f>
        <v>1.2200434779149647</v>
      </c>
      <c r="N48" s="4">
        <f ca="1">Table13467[[#This Row],[Column1]]*VALUE(SUBSTITUTE(LEFT(Table13467[[#This Row],[normal price/real milage]],3),",",""))</f>
        <v>1.0980391301234682</v>
      </c>
      <c r="O48" s="4"/>
    </row>
    <row r="49" spans="1:15" x14ac:dyDescent="0.25">
      <c r="A49" s="1">
        <v>45081</v>
      </c>
      <c r="B49">
        <v>4</v>
      </c>
      <c r="C49" s="5">
        <v>25495</v>
      </c>
      <c r="D49">
        <v>2017</v>
      </c>
      <c r="E49" t="s">
        <v>110</v>
      </c>
      <c r="F49" t="s">
        <v>115</v>
      </c>
      <c r="G49">
        <v>59000</v>
      </c>
      <c r="H49" s="4">
        <f>Table13467[[#This Row],[Price]]/Table13467[[#This Row],[Mileage]]</f>
        <v>0.4321186440677966</v>
      </c>
      <c r="I49" s="3">
        <f ca="1">Table13467[[#This Row],[Price]]/Table13467[[#This Row],[Age]]</f>
        <v>4249.166666666667</v>
      </c>
      <c r="J49" s="3">
        <f ca="1">Table13467[[#This Row],[Price/age]]/Table13467[[#This Row],[price/mileage]]</f>
        <v>9833.3333333333339</v>
      </c>
      <c r="K49">
        <f ca="1">IF(YEAR(TODAY())=Table13467[[#This Row],[year]],0.8,YEAR(TODAY())-Table13467[[#This Row],[year]])</f>
        <v>6</v>
      </c>
      <c r="L4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1.224      5,698</v>
      </c>
      <c r="M49" s="4">
        <f t="array" aca="1" ref="M49" ca="1">EXP(INDEX(LINEST(LN(Table13467[Price]),Table13467[Age]),1,2))*EXP(INDEX(LINEST(LN(Table13467[Price]),Table13467[Age]),1,1)*Table13467[[#This Row],[Age]])/Table13467[[#This Row],[Price]]</f>
        <v>0.90918242937463878</v>
      </c>
      <c r="N49" s="4">
        <f ca="1">Table13467[[#This Row],[Column1]]*VALUE(SUBSTITUTE(LEFT(Table13467[[#This Row],[normal price/real milage]],3),",",""))</f>
        <v>1.0910189152495664</v>
      </c>
      <c r="O49" s="4"/>
    </row>
    <row r="50" spans="1:15" x14ac:dyDescent="0.25">
      <c r="A50" s="1">
        <v>45081</v>
      </c>
      <c r="B50">
        <v>81</v>
      </c>
      <c r="C50" s="5">
        <v>25500</v>
      </c>
      <c r="D50">
        <v>2017</v>
      </c>
      <c r="E50" t="s">
        <v>110</v>
      </c>
      <c r="F50" t="s">
        <v>116</v>
      </c>
      <c r="G50">
        <v>48000</v>
      </c>
      <c r="H50" s="4">
        <f>Table13467[[#This Row],[Price]]/Table13467[[#This Row],[Mileage]]</f>
        <v>0.53125</v>
      </c>
      <c r="I50" s="3">
        <f ca="1">Table13467[[#This Row],[Price]]/Table13467[[#This Row],[Age]]</f>
        <v>4250</v>
      </c>
      <c r="J50" s="3">
        <f ca="1">Table13467[[#This Row],[Price/age]]/Table13467[[#This Row],[price/mileage]]</f>
        <v>8000</v>
      </c>
      <c r="K50">
        <f ca="1">IF(YEAR(TODAY())=Table13467[[#This Row],[year]],0.8,YEAR(TODAY())-Table13467[[#This Row],[year]])</f>
        <v>6</v>
      </c>
      <c r="L5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1.278      7,090</v>
      </c>
      <c r="M50" s="4">
        <f t="array" aca="1" ref="M50" ca="1">EXP(INDEX(LINEST(LN(Table13467[Price]),Table13467[Age]),1,2))*EXP(INDEX(LINEST(LN(Table13467[Price]),Table13467[Age]),1,1)*Table13467[[#This Row],[Age]])/Table13467[[#This Row],[Price]]</f>
        <v>0.90900415831005543</v>
      </c>
      <c r="N50" s="4">
        <f ca="1">Table13467[[#This Row],[Column1]]*VALUE(SUBSTITUTE(LEFT(Table13467[[#This Row],[normal price/real milage]],3),",",""))</f>
        <v>1.0908049899720664</v>
      </c>
      <c r="O50" s="4"/>
    </row>
    <row r="51" spans="1:15" x14ac:dyDescent="0.25">
      <c r="A51" s="1">
        <v>45081</v>
      </c>
      <c r="B51">
        <v>71</v>
      </c>
      <c r="C51" s="5">
        <v>14200</v>
      </c>
      <c r="D51">
        <v>2012</v>
      </c>
      <c r="E51" t="s">
        <v>110</v>
      </c>
      <c r="F51" t="s">
        <v>116</v>
      </c>
      <c r="G51">
        <v>160000</v>
      </c>
      <c r="H51" s="4">
        <f>Table13467[[#This Row],[Price]]/Table13467[[#This Row],[Mileage]]</f>
        <v>8.8749999999999996E-2</v>
      </c>
      <c r="I51" s="3">
        <f ca="1">Table13467[[#This Row],[Price]]/Table13467[[#This Row],[Age]]</f>
        <v>1290.909090909091</v>
      </c>
      <c r="J51" s="3">
        <f ca="1">Table13467[[#This Row],[Price/age]]/Table13467[[#This Row],[price/mileage]]</f>
        <v>14545.454545454548</v>
      </c>
      <c r="K51">
        <f ca="1">IF(YEAR(TODAY())=Table13467[[#This Row],[year]],0.8,YEAR(TODAY())-Table13467[[#This Row],[year]])</f>
        <v>11</v>
      </c>
      <c r="L5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1.294      4,170</v>
      </c>
      <c r="M51" s="4">
        <f t="array" aca="1" ref="M51" ca="1">EXP(INDEX(LINEST(LN(Table13467[Price]),Table13467[Age]),1,2))*EXP(INDEX(LINEST(LN(Table13467[Price]),Table13467[Age]),1,1)*Table13467[[#This Row],[Age]])/Table13467[[#This Row],[Price]]</f>
        <v>0.90511698392686846</v>
      </c>
      <c r="N51" s="4">
        <f ca="1">Table13467[[#This Row],[Column1]]*VALUE(SUBSTITUTE(LEFT(Table13467[[#This Row],[normal price/real milage]],3),",",""))</f>
        <v>1.0861403807122421</v>
      </c>
      <c r="O51" s="4"/>
    </row>
    <row r="52" spans="1:15" x14ac:dyDescent="0.25">
      <c r="A52" s="1">
        <v>45081</v>
      </c>
      <c r="B52">
        <v>9</v>
      </c>
      <c r="C52" s="5">
        <v>30000</v>
      </c>
      <c r="D52">
        <v>2019</v>
      </c>
      <c r="E52" t="s">
        <v>110</v>
      </c>
      <c r="F52" t="s">
        <v>116</v>
      </c>
      <c r="G52">
        <v>43000</v>
      </c>
      <c r="H52" s="4">
        <f>Table13467[[#This Row],[Price]]/Table13467[[#This Row],[Mileage]]</f>
        <v>0.69767441860465118</v>
      </c>
      <c r="I52" s="3">
        <f ca="1">Table13467[[#This Row],[Price]]/Table13467[[#This Row],[Age]]</f>
        <v>7500</v>
      </c>
      <c r="J52" s="3">
        <f ca="1">Table13467[[#This Row],[Price/age]]/Table13467[[#This Row],[price/mileage]]</f>
        <v>10750</v>
      </c>
      <c r="K52">
        <f ca="1">IF(YEAR(TODAY())=Table13467[[#This Row],[year]],0.8,YEAR(TODAY())-Table13467[[#This Row],[year]])</f>
        <v>4</v>
      </c>
      <c r="L5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1.107      3,225</v>
      </c>
      <c r="M52" s="4">
        <f t="array" aca="1" ref="M52" ca="1">EXP(INDEX(LINEST(LN(Table13467[Price]),Table13467[Age]),1,2))*EXP(INDEX(LINEST(LN(Table13467[Price]),Table13467[Age]),1,1)*Table13467[[#This Row],[Age]])/Table13467[[#This Row],[Price]]</f>
        <v>0.97820525681213988</v>
      </c>
      <c r="N52" s="4">
        <f ca="1">Table13467[[#This Row],[Column1]]*VALUE(SUBSTITUTE(LEFT(Table13467[[#This Row],[normal price/real milage]],3),",",""))</f>
        <v>1.0760257824933539</v>
      </c>
      <c r="O52" s="4"/>
    </row>
    <row r="53" spans="1:15" x14ac:dyDescent="0.25">
      <c r="A53" s="1">
        <v>45081</v>
      </c>
      <c r="B53">
        <v>143</v>
      </c>
      <c r="C53" s="5">
        <v>25999</v>
      </c>
      <c r="D53">
        <v>2017</v>
      </c>
      <c r="E53" t="s">
        <v>110</v>
      </c>
      <c r="F53" t="s">
        <v>128</v>
      </c>
      <c r="G53">
        <v>53000</v>
      </c>
      <c r="H53" s="4">
        <f>Table13467[[#This Row],[Price]]/Table13467[[#This Row],[Mileage]]</f>
        <v>0.49054716981132074</v>
      </c>
      <c r="I53" s="3">
        <f ca="1">Table13467[[#This Row],[Price]]/Table13467[[#This Row],[Age]]</f>
        <v>4333.166666666667</v>
      </c>
      <c r="J53" s="3">
        <f ca="1">Table13467[[#This Row],[Price/age]]/Table13467[[#This Row],[price/mileage]]</f>
        <v>8833.3333333333339</v>
      </c>
      <c r="K53">
        <f ca="1">IF(YEAR(TODAY())=Table13467[[#This Row],[year]],0.8,YEAR(TODAY())-Table13467[[#This Row],[year]])</f>
        <v>6</v>
      </c>
      <c r="L5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1.229      5,956</v>
      </c>
      <c r="M53" s="4">
        <f t="array" aca="1" ref="M53" ca="1">EXP(INDEX(LINEST(LN(Table13467[Price]),Table13467[Age]),1,2))*EXP(INDEX(LINEST(LN(Table13467[Price]),Table13467[Age]),1,1)*Table13467[[#This Row],[Age]])/Table13467[[#This Row],[Price]]</f>
        <v>0.89155759978870008</v>
      </c>
      <c r="N53" s="4">
        <f ca="1">Table13467[[#This Row],[Column1]]*VALUE(SUBSTITUTE(LEFT(Table13467[[#This Row],[normal price/real milage]],3),",",""))</f>
        <v>1.0698691197464401</v>
      </c>
      <c r="O53" s="4"/>
    </row>
    <row r="54" spans="1:15" x14ac:dyDescent="0.25">
      <c r="A54" s="1">
        <v>45081</v>
      </c>
      <c r="B54">
        <v>62</v>
      </c>
      <c r="C54" s="5">
        <v>26950</v>
      </c>
      <c r="D54">
        <v>2018</v>
      </c>
      <c r="E54" t="s">
        <v>110</v>
      </c>
      <c r="F54" t="s">
        <v>130</v>
      </c>
      <c r="G54">
        <v>64000</v>
      </c>
      <c r="H54" s="4">
        <f>Table13467[[#This Row],[Price]]/Table13467[[#This Row],[Mileage]]</f>
        <v>0.42109374999999999</v>
      </c>
      <c r="I54" s="3">
        <f ca="1">Table13467[[#This Row],[Price]]/Table13467[[#This Row],[Age]]</f>
        <v>5390</v>
      </c>
      <c r="J54" s="3">
        <f ca="1">Table13467[[#This Row],[Price/age]]/Table13467[[#This Row],[price/mileage]]</f>
        <v>12800</v>
      </c>
      <c r="K54">
        <f ca="1">IF(YEAR(TODAY())=Table13467[[#This Row],[year]],0.8,YEAR(TODAY())-Table13467[[#This Row],[year]])</f>
        <v>5</v>
      </c>
      <c r="L5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1.134      3,609</v>
      </c>
      <c r="M54" s="4">
        <f t="array" aca="1" ref="M54" ca="1">EXP(INDEX(LINEST(LN(Table13467[Price]),Table13467[Age]),1,2))*EXP(INDEX(LINEST(LN(Table13467[Price]),Table13467[Age]),1,1)*Table13467[[#This Row],[Age]])/Table13467[[#This Row],[Price]]</f>
        <v>0.96776492815337301</v>
      </c>
      <c r="N54" s="4">
        <f ca="1">Table13467[[#This Row],[Column1]]*VALUE(SUBSTITUTE(LEFT(Table13467[[#This Row],[normal price/real milage]],3),",",""))</f>
        <v>1.0645414209687103</v>
      </c>
      <c r="O54" s="4"/>
    </row>
    <row r="55" spans="1:15" x14ac:dyDescent="0.25">
      <c r="A55" s="1">
        <v>45081</v>
      </c>
      <c r="B55">
        <v>63</v>
      </c>
      <c r="C55" s="5">
        <v>21484</v>
      </c>
      <c r="D55">
        <v>2016</v>
      </c>
      <c r="E55" t="s">
        <v>110</v>
      </c>
      <c r="F55" t="s">
        <v>116</v>
      </c>
      <c r="G55">
        <v>111000</v>
      </c>
      <c r="H55" s="4">
        <f>Table13467[[#This Row],[Price]]/Table13467[[#This Row],[Mileage]]</f>
        <v>0.19354954954954956</v>
      </c>
      <c r="I55" s="3">
        <f ca="1">Table13467[[#This Row],[Price]]/Table13467[[#This Row],[Age]]</f>
        <v>3069.1428571428573</v>
      </c>
      <c r="J55" s="3">
        <f ca="1">Table13467[[#This Row],[Price/age]]/Table13467[[#This Row],[price/mileage]]</f>
        <v>15857.142857142857</v>
      </c>
      <c r="K55">
        <f ca="1">IF(YEAR(TODAY())=Table13467[[#This Row],[year]],0.8,YEAR(TODAY())-Table13467[[#This Row],[year]])</f>
        <v>7</v>
      </c>
      <c r="L5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1.145      3,107</v>
      </c>
      <c r="M55" s="4">
        <f t="array" aca="1" ref="M55" ca="1">EXP(INDEX(LINEST(LN(Table13467[Price]),Table13467[Age]),1,2))*EXP(INDEX(LINEST(LN(Table13467[Price]),Table13467[Age]),1,1)*Table13467[[#This Row],[Age]])/Table13467[[#This Row],[Price]]</f>
        <v>0.9588889375540719</v>
      </c>
      <c r="N55" s="4">
        <f ca="1">Table13467[[#This Row],[Column1]]*VALUE(SUBSTITUTE(LEFT(Table13467[[#This Row],[normal price/real milage]],3),",",""))</f>
        <v>1.0547778313094791</v>
      </c>
      <c r="O55" s="4"/>
    </row>
    <row r="56" spans="1:15" x14ac:dyDescent="0.25">
      <c r="A56" s="1">
        <v>45081</v>
      </c>
      <c r="B56">
        <v>120</v>
      </c>
      <c r="C56" s="5">
        <v>14500</v>
      </c>
      <c r="D56">
        <v>2010</v>
      </c>
      <c r="E56" t="s">
        <v>110</v>
      </c>
      <c r="F56" t="s">
        <v>148</v>
      </c>
      <c r="G56">
        <v>130000</v>
      </c>
      <c r="H56" s="4">
        <f>Table13467[[#This Row],[Price]]/Table13467[[#This Row],[Mileage]]</f>
        <v>0.11153846153846154</v>
      </c>
      <c r="I56" s="3">
        <f ca="1">Table13467[[#This Row],[Price]]/Table13467[[#This Row],[Age]]</f>
        <v>1115.3846153846155</v>
      </c>
      <c r="J56" s="3">
        <f ca="1">Table13467[[#This Row],[Price/age]]/Table13467[[#This Row],[price/mileage]]</f>
        <v>10000</v>
      </c>
      <c r="K56">
        <f ca="1">IF(YEAR(TODAY())=Table13467[[#This Row],[year]],0.8,YEAR(TODAY())-Table13467[[#This Row],[year]])</f>
        <v>13</v>
      </c>
      <c r="L5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1.530      7,679</v>
      </c>
      <c r="M56" s="4">
        <f t="array" aca="1" ref="M56" ca="1">EXP(INDEX(LINEST(LN(Table13467[Price]),Table13467[Age]),1,2))*EXP(INDEX(LINEST(LN(Table13467[Price]),Table13467[Age]),1,1)*Table13467[[#This Row],[Age]])/Table13467[[#This Row],[Price]]</f>
        <v>0.70013189011575272</v>
      </c>
      <c r="N56" s="4">
        <f ca="1">Table13467[[#This Row],[Column1]]*VALUE(SUBSTITUTE(LEFT(Table13467[[#This Row],[normal price/real milage]],3),",",""))</f>
        <v>1.0501978351736292</v>
      </c>
      <c r="O56" s="4"/>
    </row>
    <row r="57" spans="1:15" x14ac:dyDescent="0.25">
      <c r="A57" s="1">
        <v>45081</v>
      </c>
      <c r="B57">
        <v>97</v>
      </c>
      <c r="C57" s="5">
        <v>26495</v>
      </c>
      <c r="D57">
        <v>2017</v>
      </c>
      <c r="E57" t="s">
        <v>110</v>
      </c>
      <c r="F57" t="s">
        <v>115</v>
      </c>
      <c r="G57">
        <v>44000</v>
      </c>
      <c r="H57" s="4">
        <f>Table13467[[#This Row],[Price]]/Table13467[[#This Row],[Mileage]]</f>
        <v>0.60215909090909092</v>
      </c>
      <c r="I57" s="3">
        <f ca="1">Table13467[[#This Row],[Price]]/Table13467[[#This Row],[Age]]</f>
        <v>4415.833333333333</v>
      </c>
      <c r="J57" s="3">
        <f ca="1">Table13467[[#This Row],[Price/age]]/Table13467[[#This Row],[price/mileage]]</f>
        <v>7333.333333333333</v>
      </c>
      <c r="K57">
        <f ca="1">IF(YEAR(TODAY())=Table13467[[#This Row],[year]],0.8,YEAR(TODAY())-Table13467[[#This Row],[year]])</f>
        <v>6</v>
      </c>
      <c r="L5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1.249      6,603</v>
      </c>
      <c r="M57" s="4">
        <f t="array" aca="1" ref="M57" ca="1">EXP(INDEX(LINEST(LN(Table13467[Price]),Table13467[Age]),1,2))*EXP(INDEX(LINEST(LN(Table13467[Price]),Table13467[Age]),1,1)*Table13467[[#This Row],[Age]])/Table13467[[#This Row],[Price]]</f>
        <v>0.87486718388021945</v>
      </c>
      <c r="N57" s="4">
        <f ca="1">Table13467[[#This Row],[Column1]]*VALUE(SUBSTITUTE(LEFT(Table13467[[#This Row],[normal price/real milage]],3),",",""))</f>
        <v>1.0498406206562634</v>
      </c>
      <c r="O57" s="4"/>
    </row>
    <row r="58" spans="1:15" x14ac:dyDescent="0.25">
      <c r="A58" s="1">
        <v>45081</v>
      </c>
      <c r="B58">
        <v>98</v>
      </c>
      <c r="C58" s="5">
        <v>25163</v>
      </c>
      <c r="D58">
        <v>2018</v>
      </c>
      <c r="E58" t="s">
        <v>110</v>
      </c>
      <c r="F58" t="s">
        <v>111</v>
      </c>
      <c r="G58">
        <v>93000</v>
      </c>
      <c r="H58" s="4">
        <f>Table13467[[#This Row],[Price]]/Table13467[[#This Row],[Mileage]]</f>
        <v>0.2705698924731183</v>
      </c>
      <c r="I58" s="3">
        <f ca="1">Table13467[[#This Row],[Price]]/Table13467[[#This Row],[Age]]</f>
        <v>5032.6000000000004</v>
      </c>
      <c r="J58" s="3">
        <f ca="1">Table13467[[#This Row],[Price/age]]/Table13467[[#This Row],[price/mileage]]</f>
        <v>18600</v>
      </c>
      <c r="K58">
        <f ca="1">IF(YEAR(TODAY())=Table13467[[#This Row],[year]],0.8,YEAR(TODAY())-Table13467[[#This Row],[year]])</f>
        <v>5</v>
      </c>
      <c r="L5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1.068      1,714</v>
      </c>
      <c r="M58" s="4">
        <f t="array" aca="1" ref="M58" ca="1">EXP(INDEX(LINEST(LN(Table13467[Price]),Table13467[Age]),1,2))*EXP(INDEX(LINEST(LN(Table13467[Price]),Table13467[Age]),1,1)*Table13467[[#This Row],[Age]])/Table13467[[#This Row],[Price]]</f>
        <v>1.0364926604035052</v>
      </c>
      <c r="N58" s="4">
        <f ca="1">Table13467[[#This Row],[Column1]]*VALUE(SUBSTITUTE(LEFT(Table13467[[#This Row],[normal price/real milage]],3),",",""))</f>
        <v>1.0364926604035052</v>
      </c>
      <c r="O58" s="4"/>
    </row>
    <row r="59" spans="1:15" x14ac:dyDescent="0.25">
      <c r="A59" s="1">
        <v>45081</v>
      </c>
      <c r="B59">
        <v>121</v>
      </c>
      <c r="C59" s="5">
        <v>19495</v>
      </c>
      <c r="D59">
        <v>2015</v>
      </c>
      <c r="E59" t="s">
        <v>149</v>
      </c>
      <c r="F59" t="s">
        <v>116</v>
      </c>
      <c r="G59">
        <v>135000</v>
      </c>
      <c r="H59" s="4">
        <f>Table13467[[#This Row],[Price]]/Table13467[[#This Row],[Mileage]]</f>
        <v>0.1444074074074074</v>
      </c>
      <c r="I59" s="3">
        <f ca="1">Table13467[[#This Row],[Price]]/Table13467[[#This Row],[Age]]</f>
        <v>2436.875</v>
      </c>
      <c r="J59" s="3">
        <f ca="1">Table13467[[#This Row],[Price/age]]/Table13467[[#This Row],[price/mileage]]</f>
        <v>16875</v>
      </c>
      <c r="K59">
        <f ca="1">IF(YEAR(TODAY())=Table13467[[#This Row],[year]],0.8,YEAR(TODAY())-Table13467[[#This Row],[year]])</f>
        <v>8</v>
      </c>
      <c r="L5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1.105      2,049</v>
      </c>
      <c r="M59" s="4">
        <f t="array" aca="1" ref="M59" ca="1">EXP(INDEX(LINEST(LN(Table13467[Price]),Table13467[Age]),1,2))*EXP(INDEX(LINEST(LN(Table13467[Price]),Table13467[Age]),1,1)*Table13467[[#This Row],[Age]])/Table13467[[#This Row],[Price]]</f>
        <v>0.93915573338578517</v>
      </c>
      <c r="N59" s="4">
        <f ca="1">Table13467[[#This Row],[Column1]]*VALUE(SUBSTITUTE(LEFT(Table13467[[#This Row],[normal price/real milage]],3),",",""))</f>
        <v>1.0330713067243638</v>
      </c>
      <c r="O59" s="4"/>
    </row>
    <row r="60" spans="1:15" x14ac:dyDescent="0.25">
      <c r="A60" s="1">
        <v>45081</v>
      </c>
      <c r="B60">
        <v>29</v>
      </c>
      <c r="C60" s="5">
        <v>21995</v>
      </c>
      <c r="D60">
        <v>2016</v>
      </c>
      <c r="E60" t="s">
        <v>110</v>
      </c>
      <c r="F60" t="s">
        <v>116</v>
      </c>
      <c r="G60">
        <v>106000</v>
      </c>
      <c r="H60" s="4">
        <f>Table13467[[#This Row],[Price]]/Table13467[[#This Row],[Mileage]]</f>
        <v>0.20749999999999999</v>
      </c>
      <c r="I60" s="3">
        <f ca="1">Table13467[[#This Row],[Price]]/Table13467[[#This Row],[Age]]</f>
        <v>3142.1428571428573</v>
      </c>
      <c r="J60" s="3">
        <f ca="1">Table13467[[#This Row],[Price/age]]/Table13467[[#This Row],[price/mileage]]</f>
        <v>15142.857142857145</v>
      </c>
      <c r="K60">
        <f ca="1">IF(YEAR(TODAY())=Table13467[[#This Row],[year]],0.8,YEAR(TODAY())-Table13467[[#This Row],[year]])</f>
        <v>7</v>
      </c>
      <c r="L6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1.147      3,231</v>
      </c>
      <c r="M60" s="4">
        <f t="array" aca="1" ref="M60" ca="1">EXP(INDEX(LINEST(LN(Table13467[Price]),Table13467[Age]),1,2))*EXP(INDEX(LINEST(LN(Table13467[Price]),Table13467[Age]),1,1)*Table13467[[#This Row],[Age]])/Table13467[[#This Row],[Price]]</f>
        <v>0.93661149963226553</v>
      </c>
      <c r="N60" s="4">
        <f ca="1">Table13467[[#This Row],[Column1]]*VALUE(SUBSTITUTE(LEFT(Table13467[[#This Row],[normal price/real milage]],3),",",""))</f>
        <v>1.0302726495954921</v>
      </c>
      <c r="O60" s="4"/>
    </row>
    <row r="61" spans="1:15" x14ac:dyDescent="0.25">
      <c r="A61" s="1">
        <v>45081</v>
      </c>
      <c r="B61">
        <v>51</v>
      </c>
      <c r="C61" s="5">
        <v>4999</v>
      </c>
      <c r="D61">
        <v>2002</v>
      </c>
      <c r="E61" t="s">
        <v>110</v>
      </c>
      <c r="F61" t="s">
        <v>115</v>
      </c>
      <c r="G61">
        <v>250000</v>
      </c>
      <c r="H61" s="4">
        <f>Table13467[[#This Row],[Price]]/Table13467[[#This Row],[Mileage]]</f>
        <v>1.9996E-2</v>
      </c>
      <c r="I61" s="3">
        <f ca="1">Table13467[[#This Row],[Price]]/Table13467[[#This Row],[Age]]</f>
        <v>238.04761904761904</v>
      </c>
      <c r="J61" s="3">
        <f ca="1">Table13467[[#This Row],[Price/age]]/Table13467[[#This Row],[price/mileage]]</f>
        <v>11904.761904761905</v>
      </c>
      <c r="K61">
        <f ca="1">IF(YEAR(TODAY())=Table13467[[#This Row],[year]],0.8,YEAR(TODAY())-Table13467[[#This Row],[year]])</f>
        <v>21</v>
      </c>
      <c r="L6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1.389      1,944</v>
      </c>
      <c r="M61" s="4">
        <f t="array" aca="1" ref="M61" ca="1">EXP(INDEX(LINEST(LN(Table13467[Price]),Table13467[Age]),1,2))*EXP(INDEX(LINEST(LN(Table13467[Price]),Table13467[Age]),1,1)*Table13467[[#This Row],[Age]])/Table13467[[#This Row],[Price]]</f>
        <v>0.79046735376861321</v>
      </c>
      <c r="N61" s="4">
        <f ca="1">Table13467[[#This Row],[Column1]]*VALUE(SUBSTITUTE(LEFT(Table13467[[#This Row],[normal price/real milage]],3),",",""))</f>
        <v>1.0276075598991972</v>
      </c>
      <c r="O61" s="4"/>
    </row>
    <row r="62" spans="1:15" x14ac:dyDescent="0.25">
      <c r="A62" s="1">
        <v>45081</v>
      </c>
      <c r="B62">
        <v>57</v>
      </c>
      <c r="C62" s="5">
        <v>16999</v>
      </c>
      <c r="D62">
        <v>2013</v>
      </c>
      <c r="E62" t="s">
        <v>110</v>
      </c>
      <c r="F62" t="s">
        <v>116</v>
      </c>
      <c r="G62">
        <v>138000</v>
      </c>
      <c r="H62" s="4">
        <f>Table13467[[#This Row],[Price]]/Table13467[[#This Row],[Mileage]]</f>
        <v>0.12318115942028986</v>
      </c>
      <c r="I62" s="3">
        <f ca="1">Table13467[[#This Row],[Price]]/Table13467[[#This Row],[Age]]</f>
        <v>1699.9</v>
      </c>
      <c r="J62" s="3">
        <f ca="1">Table13467[[#This Row],[Price/age]]/Table13467[[#This Row],[price/mileage]]</f>
        <v>13800</v>
      </c>
      <c r="K62">
        <f ca="1">IF(YEAR(TODAY())=Table13467[[#This Row],[year]],0.8,YEAR(TODAY())-Table13467[[#This Row],[year]])</f>
        <v>10</v>
      </c>
      <c r="L6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1.245      4,164</v>
      </c>
      <c r="M62" s="4">
        <f t="array" aca="1" ref="M62" ca="1">EXP(INDEX(LINEST(LN(Table13467[Price]),Table13467[Age]),1,2))*EXP(INDEX(LINEST(LN(Table13467[Price]),Table13467[Age]),1,1)*Table13467[[#This Row],[Age]])/Table13467[[#This Row],[Price]]</f>
        <v>0.85073104820394563</v>
      </c>
      <c r="N62" s="4">
        <f ca="1">Table13467[[#This Row],[Column1]]*VALUE(SUBSTITUTE(LEFT(Table13467[[#This Row],[normal price/real milage]],3),",",""))</f>
        <v>1.0208772578447347</v>
      </c>
      <c r="O62" s="4"/>
    </row>
    <row r="63" spans="1:15" x14ac:dyDescent="0.25">
      <c r="A63" s="1">
        <v>45081</v>
      </c>
      <c r="B63">
        <v>107</v>
      </c>
      <c r="C63" s="5">
        <v>10999</v>
      </c>
      <c r="D63">
        <v>2010</v>
      </c>
      <c r="E63" t="s">
        <v>110</v>
      </c>
      <c r="F63" t="s">
        <v>116</v>
      </c>
      <c r="G63">
        <v>204000</v>
      </c>
      <c r="H63" s="4">
        <f>Table13467[[#This Row],[Price]]/Table13467[[#This Row],[Mileage]]</f>
        <v>5.3916666666666668E-2</v>
      </c>
      <c r="I63" s="3">
        <f ca="1">Table13467[[#This Row],[Price]]/Table13467[[#This Row],[Age]]</f>
        <v>846.07692307692309</v>
      </c>
      <c r="J63" s="3">
        <f ca="1">Table13467[[#This Row],[Price/age]]/Table13467[[#This Row],[price/mileage]]</f>
        <v>15692.307692307691</v>
      </c>
      <c r="K63">
        <f ca="1">IF(YEAR(TODAY())=Table13467[[#This Row],[year]],0.8,YEAR(TODAY())-Table13467[[#This Row],[year]])</f>
        <v>13</v>
      </c>
      <c r="L6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1.162      1,784</v>
      </c>
      <c r="M63" s="4">
        <f t="array" aca="1" ref="M63" ca="1">EXP(INDEX(LINEST(LN(Table13467[Price]),Table13467[Age]),1,2))*EXP(INDEX(LINEST(LN(Table13467[Price]),Table13467[Age]),1,1)*Table13467[[#This Row],[Age]])/Table13467[[#This Row],[Price]]</f>
        <v>0.92298503561036593</v>
      </c>
      <c r="N63" s="4">
        <f ca="1">Table13467[[#This Row],[Column1]]*VALUE(SUBSTITUTE(LEFT(Table13467[[#This Row],[normal price/real milage]],3),",",""))</f>
        <v>1.0152835391714026</v>
      </c>
      <c r="O63" s="4"/>
    </row>
    <row r="64" spans="1:15" x14ac:dyDescent="0.25">
      <c r="A64" s="1">
        <v>45081</v>
      </c>
      <c r="B64">
        <v>76</v>
      </c>
      <c r="C64" s="5">
        <v>28997</v>
      </c>
      <c r="D64">
        <v>2019</v>
      </c>
      <c r="E64" t="s">
        <v>110</v>
      </c>
      <c r="F64" t="s">
        <v>116</v>
      </c>
      <c r="G64">
        <v>69000</v>
      </c>
      <c r="H64" s="4">
        <f>Table13467[[#This Row],[Price]]/Table13467[[#This Row],[Mileage]]</f>
        <v>0.42024637681159421</v>
      </c>
      <c r="I64" s="3">
        <f ca="1">Table13467[[#This Row],[Price]]/Table13467[[#This Row],[Age]]</f>
        <v>7249.25</v>
      </c>
      <c r="J64" s="3">
        <f ca="1">Table13467[[#This Row],[Price/age]]/Table13467[[#This Row],[price/mileage]]</f>
        <v>17250</v>
      </c>
      <c r="K64">
        <f ca="1">IF(YEAR(TODAY())=Table13467[[#This Row],[year]],0.8,YEAR(TODAY())-Table13467[[#This Row],[year]])</f>
        <v>4</v>
      </c>
      <c r="L6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1.032      927</v>
      </c>
      <c r="M64" s="4">
        <f t="array" aca="1" ref="M64" ca="1">EXP(INDEX(LINEST(LN(Table13467[Price]),Table13467[Age]),1,2))*EXP(INDEX(LINEST(LN(Table13467[Price]),Table13467[Age]),1,1)*Table13467[[#This Row],[Age]])/Table13467[[#This Row],[Price]]</f>
        <v>1.0120411664780562</v>
      </c>
      <c r="N64" s="4">
        <f ca="1">Table13467[[#This Row],[Column1]]*VALUE(SUBSTITUTE(LEFT(Table13467[[#This Row],[normal price/real milage]],3),",",""))</f>
        <v>1.0120411664780562</v>
      </c>
      <c r="O64" s="4"/>
    </row>
    <row r="65" spans="1:15" x14ac:dyDescent="0.25">
      <c r="A65" s="1">
        <v>45081</v>
      </c>
      <c r="B65">
        <v>44</v>
      </c>
      <c r="C65" s="5">
        <v>31995</v>
      </c>
      <c r="D65">
        <v>2019</v>
      </c>
      <c r="E65" t="s">
        <v>113</v>
      </c>
      <c r="F65" t="s">
        <v>116</v>
      </c>
      <c r="G65">
        <v>22000</v>
      </c>
      <c r="H65" s="4">
        <f>Table13467[[#This Row],[Price]]/Table13467[[#This Row],[Mileage]]</f>
        <v>1.4543181818181818</v>
      </c>
      <c r="I65" s="3">
        <f ca="1">Table13467[[#This Row],[Price]]/Table13467[[#This Row],[Age]]</f>
        <v>7998.75</v>
      </c>
      <c r="J65" s="3">
        <f ca="1">Table13467[[#This Row],[Price/age]]/Table13467[[#This Row],[price/mileage]]</f>
        <v>5500</v>
      </c>
      <c r="K65">
        <f ca="1">IF(YEAR(TODAY())=Table13467[[#This Row],[year]],0.8,YEAR(TODAY())-Table13467[[#This Row],[year]])</f>
        <v>4</v>
      </c>
      <c r="L6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1.122      3,896</v>
      </c>
      <c r="M65" s="4">
        <f t="array" aca="1" ref="M65" ca="1">EXP(INDEX(LINEST(LN(Table13467[Price]),Table13467[Age]),1,2))*EXP(INDEX(LINEST(LN(Table13467[Price]),Table13467[Age]),1,1)*Table13467[[#This Row],[Age]])/Table13467[[#This Row],[Price]]</f>
        <v>0.91721074243988732</v>
      </c>
      <c r="N65" s="4">
        <f ca="1">Table13467[[#This Row],[Column1]]*VALUE(SUBSTITUTE(LEFT(Table13467[[#This Row],[normal price/real milage]],3),",",""))</f>
        <v>1.0089318166838761</v>
      </c>
      <c r="O65" s="4"/>
    </row>
    <row r="66" spans="1:15" x14ac:dyDescent="0.25">
      <c r="A66" s="1">
        <v>45081</v>
      </c>
      <c r="B66">
        <v>49</v>
      </c>
      <c r="C66" s="5">
        <v>25900</v>
      </c>
      <c r="D66">
        <v>2018</v>
      </c>
      <c r="E66" t="s">
        <v>110</v>
      </c>
      <c r="F66" t="s">
        <v>130</v>
      </c>
      <c r="G66">
        <v>81000</v>
      </c>
      <c r="H66" s="4">
        <f>Table13467[[#This Row],[Price]]/Table13467[[#This Row],[Mileage]]</f>
        <v>0.31975308641975309</v>
      </c>
      <c r="I66" s="3">
        <f ca="1">Table13467[[#This Row],[Price]]/Table13467[[#This Row],[Age]]</f>
        <v>5180</v>
      </c>
      <c r="J66" s="3">
        <f ca="1">Table13467[[#This Row],[Price/age]]/Table13467[[#This Row],[price/mileage]]</f>
        <v>16200</v>
      </c>
      <c r="K66">
        <f ca="1">IF(YEAR(TODAY())=Table13467[[#This Row],[year]],0.8,YEAR(TODAY())-Table13467[[#This Row],[year]])</f>
        <v>5</v>
      </c>
      <c r="L6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1.097      2,500</v>
      </c>
      <c r="M66" s="4">
        <f t="array" aca="1" ref="M66" ca="1">EXP(INDEX(LINEST(LN(Table13467[Price]),Table13467[Age]),1,2))*EXP(INDEX(LINEST(LN(Table13467[Price]),Table13467[Age]),1,1)*Table13467[[#This Row],[Age]])/Table13467[[#This Row],[Price]]</f>
        <v>1.0069986414568881</v>
      </c>
      <c r="N66" s="4">
        <f ca="1">Table13467[[#This Row],[Column1]]*VALUE(SUBSTITUTE(LEFT(Table13467[[#This Row],[normal price/real milage]],3),",",""))</f>
        <v>1.0069986414568881</v>
      </c>
      <c r="O66" s="4"/>
    </row>
    <row r="67" spans="1:15" x14ac:dyDescent="0.25">
      <c r="A67" s="1">
        <v>45081</v>
      </c>
      <c r="B67">
        <v>109</v>
      </c>
      <c r="C67" s="5">
        <v>25997</v>
      </c>
      <c r="D67">
        <v>2018</v>
      </c>
      <c r="E67" t="s">
        <v>110</v>
      </c>
      <c r="F67" t="s">
        <v>116</v>
      </c>
      <c r="G67">
        <v>98000</v>
      </c>
      <c r="H67" s="4">
        <f>Table13467[[#This Row],[Price]]/Table13467[[#This Row],[Mileage]]</f>
        <v>0.26527551020408163</v>
      </c>
      <c r="I67" s="3">
        <f ca="1">Table13467[[#This Row],[Price]]/Table13467[[#This Row],[Age]]</f>
        <v>5199.3999999999996</v>
      </c>
      <c r="J67" s="3">
        <f ca="1">Table13467[[#This Row],[Price/age]]/Table13467[[#This Row],[price/mileage]]</f>
        <v>19600</v>
      </c>
      <c r="K67">
        <f ca="1">IF(YEAR(TODAY())=Table13467[[#This Row],[year]],0.8,YEAR(TODAY())-Table13467[[#This Row],[year]])</f>
        <v>5</v>
      </c>
      <c r="L6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1.009      245</v>
      </c>
      <c r="M67" s="4">
        <f t="array" aca="1" ref="M67" ca="1">EXP(INDEX(LINEST(LN(Table13467[Price]),Table13467[Age]),1,2))*EXP(INDEX(LINEST(LN(Table13467[Price]),Table13467[Age]),1,1)*Table13467[[#This Row],[Age]])/Table13467[[#This Row],[Price]]</f>
        <v>1.0032413283737893</v>
      </c>
      <c r="N67" s="4">
        <f ca="1">Table13467[[#This Row],[Column1]]*VALUE(SUBSTITUTE(LEFT(Table13467[[#This Row],[normal price/real milage]],3),",",""))</f>
        <v>1.0032413283737893</v>
      </c>
      <c r="O67" s="4"/>
    </row>
    <row r="68" spans="1:15" x14ac:dyDescent="0.25">
      <c r="A68" s="1">
        <v>45081</v>
      </c>
      <c r="B68">
        <v>48</v>
      </c>
      <c r="C68" s="5">
        <v>18500</v>
      </c>
      <c r="D68">
        <v>2015</v>
      </c>
      <c r="E68" t="s">
        <v>110</v>
      </c>
      <c r="F68" t="s">
        <v>116</v>
      </c>
      <c r="G68">
        <v>155000</v>
      </c>
      <c r="H68" s="4">
        <f>Table13467[[#This Row],[Price]]/Table13467[[#This Row],[Mileage]]</f>
        <v>0.11935483870967742</v>
      </c>
      <c r="I68" s="3">
        <f ca="1">Table13467[[#This Row],[Price]]/Table13467[[#This Row],[Age]]</f>
        <v>2312.5</v>
      </c>
      <c r="J68" s="3">
        <f ca="1">Table13467[[#This Row],[Price/age]]/Table13467[[#This Row],[price/mileage]]</f>
        <v>19375</v>
      </c>
      <c r="K68">
        <f ca="1">IF(YEAR(TODAY())=Table13467[[#This Row],[year]],0.8,YEAR(TODAY())-Table13467[[#This Row],[year]])</f>
        <v>8</v>
      </c>
      <c r="L6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1.027      505</v>
      </c>
      <c r="M68" s="4">
        <f t="array" aca="1" ref="M68" ca="1">EXP(INDEX(LINEST(LN(Table13467[Price]),Table13467[Age]),1,2))*EXP(INDEX(LINEST(LN(Table13467[Price]),Table13467[Age]),1,1)*Table13467[[#This Row],[Age]])/Table13467[[#This Row],[Price]]</f>
        <v>0.98966708228950717</v>
      </c>
      <c r="N68" s="4">
        <f ca="1">Table13467[[#This Row],[Column1]]*VALUE(SUBSTITUTE(LEFT(Table13467[[#This Row],[normal price/real milage]],3),",",""))</f>
        <v>0.98966708228950717</v>
      </c>
      <c r="O68" s="4"/>
    </row>
    <row r="69" spans="1:15" x14ac:dyDescent="0.25">
      <c r="A69" s="1">
        <v>45081</v>
      </c>
      <c r="B69">
        <v>10</v>
      </c>
      <c r="C69" s="5">
        <v>33995</v>
      </c>
      <c r="D69">
        <v>2020</v>
      </c>
      <c r="E69" t="s">
        <v>110</v>
      </c>
      <c r="F69" t="s">
        <v>119</v>
      </c>
      <c r="G69">
        <v>31000</v>
      </c>
      <c r="H69" s="4">
        <f>Table13467[[#This Row],[Price]]/Table13467[[#This Row],[Mileage]]</f>
        <v>1.0966129032258065</v>
      </c>
      <c r="I69" s="3">
        <f ca="1">Table13467[[#This Row],[Price]]/Table13467[[#This Row],[Age]]</f>
        <v>11331.666666666666</v>
      </c>
      <c r="J69" s="3">
        <f ca="1">Table13467[[#This Row],[Price/age]]/Table13467[[#This Row],[price/mileage]]</f>
        <v>10333.333333333332</v>
      </c>
      <c r="K69">
        <f ca="1">IF(YEAR(TODAY())=Table13467[[#This Row],[year]],0.8,YEAR(TODAY())-Table13467[[#This Row],[year]])</f>
        <v>3</v>
      </c>
      <c r="L6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1.022      754</v>
      </c>
      <c r="M69" s="4">
        <f t="array" aca="1" ref="M69" ca="1">EXP(INDEX(LINEST(LN(Table13467[Price]),Table13467[Age]),1,2))*EXP(INDEX(LINEST(LN(Table13467[Price]),Table13467[Age]),1,1)*Table13467[[#This Row],[Age]])/Table13467[[#This Row],[Price]]</f>
        <v>0.97131210220594122</v>
      </c>
      <c r="N69" s="4">
        <f ca="1">Table13467[[#This Row],[Column1]]*VALUE(SUBSTITUTE(LEFT(Table13467[[#This Row],[normal price/real milage]],3),",",""))</f>
        <v>0.97131210220594122</v>
      </c>
      <c r="O69" s="4"/>
    </row>
    <row r="70" spans="1:15" x14ac:dyDescent="0.25">
      <c r="A70" s="1">
        <v>45081</v>
      </c>
      <c r="B70">
        <v>92</v>
      </c>
      <c r="C70" s="5">
        <v>16985</v>
      </c>
      <c r="D70">
        <v>2015</v>
      </c>
      <c r="E70" t="s">
        <v>140</v>
      </c>
      <c r="F70" t="s">
        <v>133</v>
      </c>
      <c r="G70">
        <v>174000</v>
      </c>
      <c r="H70" s="4">
        <f>Table13467[[#This Row],[Price]]/Table13467[[#This Row],[Mileage]]</f>
        <v>9.7614942528735635E-2</v>
      </c>
      <c r="I70" s="3">
        <f ca="1">Table13467[[#This Row],[Price]]/Table13467[[#This Row],[Age]]</f>
        <v>2123.125</v>
      </c>
      <c r="J70" s="3">
        <f ca="1">Table13467[[#This Row],[Price/age]]/Table13467[[#This Row],[price/mileage]]</f>
        <v>21750</v>
      </c>
      <c r="K70">
        <f ca="1">IF(YEAR(TODAY())=Table13467[[#This Row],[year]],0.8,YEAR(TODAY())-Table13467[[#This Row],[year]])</f>
        <v>8</v>
      </c>
      <c r="L7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0.977      -393</v>
      </c>
      <c r="M70" s="4">
        <f t="array" aca="1" ref="M70" ca="1">EXP(INDEX(LINEST(LN(Table13467[Price]),Table13467[Age]),1,2))*EXP(INDEX(LINEST(LN(Table13467[Price]),Table13467[Age]),1,1)*Table13467[[#This Row],[Age]])/Table13467[[#This Row],[Price]]</f>
        <v>1.077941773468112</v>
      </c>
      <c r="N70" s="4">
        <f ca="1">Table13467[[#This Row],[Column1]]*VALUE(SUBSTITUTE(LEFT(Table13467[[#This Row],[normal price/real milage]],3),",",""))</f>
        <v>0.97014759612130086</v>
      </c>
      <c r="O70" s="4"/>
    </row>
    <row r="71" spans="1:15" x14ac:dyDescent="0.25">
      <c r="A71" s="1">
        <v>45081</v>
      </c>
      <c r="B71">
        <v>70</v>
      </c>
      <c r="C71" s="5">
        <v>34989</v>
      </c>
      <c r="D71">
        <v>2021</v>
      </c>
      <c r="E71" t="s">
        <v>110</v>
      </c>
      <c r="F71" t="s">
        <v>116</v>
      </c>
      <c r="G71">
        <v>32000</v>
      </c>
      <c r="H71" s="4">
        <f>Table13467[[#This Row],[Price]]/Table13467[[#This Row],[Mileage]]</f>
        <v>1.0934062499999999</v>
      </c>
      <c r="I71" s="3">
        <f ca="1">Table13467[[#This Row],[Price]]/Table13467[[#This Row],[Age]]</f>
        <v>17494.5</v>
      </c>
      <c r="J71" s="3">
        <f ca="1">Table13467[[#This Row],[Price/age]]/Table13467[[#This Row],[price/mileage]]</f>
        <v>16000.000000000002</v>
      </c>
      <c r="K71">
        <f ca="1">IF(YEAR(TODAY())=Table13467[[#This Row],[year]],0.8,YEAR(TODAY())-Table13467[[#This Row],[year]])</f>
        <v>2</v>
      </c>
      <c r="L7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0.989      -367</v>
      </c>
      <c r="M71" s="4">
        <f t="array" aca="1" ref="M71" ca="1">EXP(INDEX(LINEST(LN(Table13467[Price]),Table13467[Age]),1,2))*EXP(INDEX(LINEST(LN(Table13467[Price]),Table13467[Age]),1,1)*Table13467[[#This Row],[Age]])/Table13467[[#This Row],[Price]]</f>
        <v>1.0618542593435589</v>
      </c>
      <c r="N71" s="4">
        <f ca="1">Table13467[[#This Row],[Column1]]*VALUE(SUBSTITUTE(LEFT(Table13467[[#This Row],[normal price/real milage]],3),",",""))</f>
        <v>0.95566883340920306</v>
      </c>
      <c r="O71" s="4"/>
    </row>
    <row r="72" spans="1:15" x14ac:dyDescent="0.25">
      <c r="A72" s="1">
        <v>45081</v>
      </c>
      <c r="B72">
        <v>25</v>
      </c>
      <c r="C72" s="5">
        <v>35000</v>
      </c>
      <c r="D72">
        <v>2021</v>
      </c>
      <c r="E72" t="s">
        <v>110</v>
      </c>
      <c r="F72" t="s">
        <v>116</v>
      </c>
      <c r="G72">
        <v>47000</v>
      </c>
      <c r="H72" s="4">
        <f>Table13467[[#This Row],[Price]]/Table13467[[#This Row],[Mileage]]</f>
        <v>0.74468085106382975</v>
      </c>
      <c r="I72" s="3">
        <f ca="1">Table13467[[#This Row],[Price]]/Table13467[[#This Row],[Age]]</f>
        <v>17500</v>
      </c>
      <c r="J72" s="3">
        <f ca="1">Table13467[[#This Row],[Price/age]]/Table13467[[#This Row],[price/mileage]]</f>
        <v>23500</v>
      </c>
      <c r="K72">
        <f ca="1">IF(YEAR(TODAY())=Table13467[[#This Row],[year]],0.8,YEAR(TODAY())-Table13467[[#This Row],[year]])</f>
        <v>2</v>
      </c>
      <c r="L7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0.935      -2,283</v>
      </c>
      <c r="M72" s="4">
        <f t="array" aca="1" ref="M72" ca="1">EXP(INDEX(LINEST(LN(Table13467[Price]),Table13467[Age]),1,2))*EXP(INDEX(LINEST(LN(Table13467[Price]),Table13467[Age]),1,1)*Table13467[[#This Row],[Age]])/Table13467[[#This Row],[Price]]</f>
        <v>1.0615205337191937</v>
      </c>
      <c r="N72" s="4">
        <f ca="1">Table13467[[#This Row],[Column1]]*VALUE(SUBSTITUTE(LEFT(Table13467[[#This Row],[normal price/real milage]],3),",",""))</f>
        <v>0.9553684803472744</v>
      </c>
      <c r="O72" s="4"/>
    </row>
    <row r="73" spans="1:15" x14ac:dyDescent="0.25">
      <c r="A73" s="1">
        <v>45081</v>
      </c>
      <c r="B73">
        <v>144</v>
      </c>
      <c r="C73" s="5">
        <v>24750</v>
      </c>
      <c r="D73">
        <v>2018</v>
      </c>
      <c r="E73" t="s">
        <v>110</v>
      </c>
      <c r="F73" t="s">
        <v>112</v>
      </c>
      <c r="G73">
        <v>119000</v>
      </c>
      <c r="H73" s="4">
        <f>Table13467[[#This Row],[Price]]/Table13467[[#This Row],[Mileage]]</f>
        <v>0.20798319327731093</v>
      </c>
      <c r="I73" s="3">
        <f ca="1">Table13467[[#This Row],[Price]]/Table13467[[#This Row],[Age]]</f>
        <v>4950</v>
      </c>
      <c r="J73" s="3">
        <f ca="1">Table13467[[#This Row],[Price/age]]/Table13467[[#This Row],[price/mileage]]</f>
        <v>23800</v>
      </c>
      <c r="K73">
        <f ca="1">IF(YEAR(TODAY())=Table13467[[#This Row],[year]],0.8,YEAR(TODAY())-Table13467[[#This Row],[year]])</f>
        <v>5</v>
      </c>
      <c r="L7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0.953      -1,174</v>
      </c>
      <c r="M73" s="4">
        <f t="array" aca="1" ref="M73" ca="1">EXP(INDEX(LINEST(LN(Table13467[Price]),Table13467[Age]),1,2))*EXP(INDEX(LINEST(LN(Table13467[Price]),Table13467[Age]),1,1)*Table13467[[#This Row],[Age]])/Table13467[[#This Row],[Price]]</f>
        <v>1.0537884773225619</v>
      </c>
      <c r="N73" s="4">
        <f ca="1">Table13467[[#This Row],[Column1]]*VALUE(SUBSTITUTE(LEFT(Table13467[[#This Row],[normal price/real milage]],3),",",""))</f>
        <v>0.94840962959030572</v>
      </c>
      <c r="O73" s="4"/>
    </row>
    <row r="74" spans="1:15" x14ac:dyDescent="0.25">
      <c r="A74" s="1">
        <v>45081</v>
      </c>
      <c r="B74">
        <v>133</v>
      </c>
      <c r="C74" s="5">
        <v>23997</v>
      </c>
      <c r="D74">
        <v>2016</v>
      </c>
      <c r="E74" t="s">
        <v>110</v>
      </c>
      <c r="F74" t="s">
        <v>116</v>
      </c>
      <c r="G74">
        <v>91000</v>
      </c>
      <c r="H74" s="4">
        <f>Table13467[[#This Row],[Price]]/Table13467[[#This Row],[Mileage]]</f>
        <v>0.26370329670329673</v>
      </c>
      <c r="I74" s="3">
        <f ca="1">Table13467[[#This Row],[Price]]/Table13467[[#This Row],[Age]]</f>
        <v>3428.1428571428573</v>
      </c>
      <c r="J74" s="3">
        <f ca="1">Table13467[[#This Row],[Price/age]]/Table13467[[#This Row],[price/mileage]]</f>
        <v>13000</v>
      </c>
      <c r="K74">
        <f ca="1">IF(YEAR(TODAY())=Table13467[[#This Row],[year]],0.8,YEAR(TODAY())-Table13467[[#This Row],[year]])</f>
        <v>7</v>
      </c>
      <c r="L7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1.131      3,134</v>
      </c>
      <c r="M74" s="4">
        <f t="array" aca="1" ref="M74" ca="1">EXP(INDEX(LINEST(LN(Table13467[Price]),Table13467[Age]),1,2))*EXP(INDEX(LINEST(LN(Table13467[Price]),Table13467[Age]),1,1)*Table13467[[#This Row],[Age]])/Table13467[[#This Row],[Price]]</f>
        <v>0.85847272302419808</v>
      </c>
      <c r="N74" s="4">
        <f ca="1">Table13467[[#This Row],[Column1]]*VALUE(SUBSTITUTE(LEFT(Table13467[[#This Row],[normal price/real milage]],3),",",""))</f>
        <v>0.94431999532661792</v>
      </c>
      <c r="O74" s="4"/>
    </row>
    <row r="75" spans="1:15" x14ac:dyDescent="0.25">
      <c r="A75" s="1">
        <v>45081</v>
      </c>
      <c r="B75">
        <v>124</v>
      </c>
      <c r="C75" s="5">
        <v>21500</v>
      </c>
      <c r="D75">
        <v>2015</v>
      </c>
      <c r="E75" t="s">
        <v>110</v>
      </c>
      <c r="F75" t="s">
        <v>116</v>
      </c>
      <c r="G75">
        <v>111000</v>
      </c>
      <c r="H75" s="4">
        <f>Table13467[[#This Row],[Price]]/Table13467[[#This Row],[Mileage]]</f>
        <v>0.19369369369369369</v>
      </c>
      <c r="I75" s="3">
        <f ca="1">Table13467[[#This Row],[Price]]/Table13467[[#This Row],[Age]]</f>
        <v>2687.5</v>
      </c>
      <c r="J75" s="3">
        <f ca="1">Table13467[[#This Row],[Price/age]]/Table13467[[#This Row],[price/mileage]]</f>
        <v>13875</v>
      </c>
      <c r="K75">
        <f ca="1">IF(YEAR(TODAY())=Table13467[[#This Row],[year]],0.8,YEAR(TODAY())-Table13467[[#This Row],[year]])</f>
        <v>8</v>
      </c>
      <c r="L7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1.144      3,091</v>
      </c>
      <c r="M75" s="4">
        <f t="array" aca="1" ref="M75" ca="1">EXP(INDEX(LINEST(LN(Table13467[Price]),Table13467[Age]),1,2))*EXP(INDEX(LINEST(LN(Table13467[Price]),Table13467[Age]),1,1)*Table13467[[#This Row],[Age]])/Table13467[[#This Row],[Price]]</f>
        <v>0.85157400103980851</v>
      </c>
      <c r="N75" s="4">
        <f ca="1">Table13467[[#This Row],[Column1]]*VALUE(SUBSTITUTE(LEFT(Table13467[[#This Row],[normal price/real milage]],3),",",""))</f>
        <v>0.93673140114378939</v>
      </c>
      <c r="O75" s="4"/>
    </row>
    <row r="76" spans="1:15" x14ac:dyDescent="0.25">
      <c r="A76" s="1">
        <v>45081</v>
      </c>
      <c r="B76">
        <v>56</v>
      </c>
      <c r="C76" s="5">
        <v>24985</v>
      </c>
      <c r="D76">
        <v>2017</v>
      </c>
      <c r="E76" t="s">
        <v>110</v>
      </c>
      <c r="F76" t="s">
        <v>133</v>
      </c>
      <c r="G76">
        <v>101000</v>
      </c>
      <c r="H76" s="4">
        <f>Table13467[[#This Row],[Price]]/Table13467[[#This Row],[Mileage]]</f>
        <v>0.24737623762376237</v>
      </c>
      <c r="I76" s="3">
        <f ca="1">Table13467[[#This Row],[Price]]/Table13467[[#This Row],[Age]]</f>
        <v>4164.166666666667</v>
      </c>
      <c r="J76" s="3">
        <f ca="1">Table13467[[#This Row],[Price/age]]/Table13467[[#This Row],[price/mileage]]</f>
        <v>16833.333333333336</v>
      </c>
      <c r="K76">
        <f ca="1">IF(YEAR(TODAY())=Table13467[[#This Row],[year]],0.8,YEAR(TODAY())-Table13467[[#This Row],[year]])</f>
        <v>6</v>
      </c>
      <c r="L7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1.035      876</v>
      </c>
      <c r="M76" s="4">
        <f t="array" aca="1" ref="M76" ca="1">EXP(INDEX(LINEST(LN(Table13467[Price]),Table13467[Age]),1,2))*EXP(INDEX(LINEST(LN(Table13467[Price]),Table13467[Age]),1,1)*Table13467[[#This Row],[Age]])/Table13467[[#This Row],[Price]]</f>
        <v>0.92774088600786131</v>
      </c>
      <c r="N76" s="4">
        <f ca="1">Table13467[[#This Row],[Column1]]*VALUE(SUBSTITUTE(LEFT(Table13467[[#This Row],[normal price/real milage]],3),",",""))</f>
        <v>0.92774088600786131</v>
      </c>
      <c r="O76" s="4"/>
    </row>
    <row r="77" spans="1:15" x14ac:dyDescent="0.25">
      <c r="A77" s="1">
        <v>45081</v>
      </c>
      <c r="B77">
        <v>38</v>
      </c>
      <c r="C77" s="5">
        <v>31888</v>
      </c>
      <c r="D77">
        <v>2019</v>
      </c>
      <c r="E77" t="s">
        <v>110</v>
      </c>
      <c r="F77" t="s">
        <v>116</v>
      </c>
      <c r="G77">
        <v>52000</v>
      </c>
      <c r="H77" s="4">
        <f>Table13467[[#This Row],[Price]]/Table13467[[#This Row],[Mileage]]</f>
        <v>0.61323076923076925</v>
      </c>
      <c r="I77" s="3">
        <f ca="1">Table13467[[#This Row],[Price]]/Table13467[[#This Row],[Age]]</f>
        <v>7972</v>
      </c>
      <c r="J77" s="3">
        <f ca="1">Table13467[[#This Row],[Price/age]]/Table13467[[#This Row],[price/mileage]]</f>
        <v>13000</v>
      </c>
      <c r="K77">
        <f ca="1">IF(YEAR(TODAY())=Table13467[[#This Row],[year]],0.8,YEAR(TODAY())-Table13467[[#This Row],[year]])</f>
        <v>4</v>
      </c>
      <c r="L7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1.006      194</v>
      </c>
      <c r="M77" s="4">
        <f t="array" aca="1" ref="M77" ca="1">EXP(INDEX(LINEST(LN(Table13467[Price]),Table13467[Age]),1,2))*EXP(INDEX(LINEST(LN(Table13467[Price]),Table13467[Age]),1,1)*Table13467[[#This Row],[Age]])/Table13467[[#This Row],[Price]]</f>
        <v>0.92028843779365888</v>
      </c>
      <c r="N77" s="4">
        <f ca="1">Table13467[[#This Row],[Column1]]*VALUE(SUBSTITUTE(LEFT(Table13467[[#This Row],[normal price/real milage]],3),",",""))</f>
        <v>0.92028843779365888</v>
      </c>
      <c r="O77" s="4"/>
    </row>
    <row r="78" spans="1:15" x14ac:dyDescent="0.25">
      <c r="A78" s="1">
        <v>45081</v>
      </c>
      <c r="B78">
        <v>28</v>
      </c>
      <c r="C78" s="5">
        <v>36900</v>
      </c>
      <c r="D78">
        <v>2021</v>
      </c>
      <c r="E78" t="s">
        <v>110</v>
      </c>
      <c r="F78" t="s">
        <v>127</v>
      </c>
      <c r="G78">
        <v>27000</v>
      </c>
      <c r="H78" s="4">
        <f>Table13467[[#This Row],[Price]]/Table13467[[#This Row],[Mileage]]</f>
        <v>1.3666666666666667</v>
      </c>
      <c r="I78" s="3">
        <f ca="1">Table13467[[#This Row],[Price]]/Table13467[[#This Row],[Age]]</f>
        <v>18450</v>
      </c>
      <c r="J78" s="3">
        <f ca="1">Table13467[[#This Row],[Price/age]]/Table13467[[#This Row],[price/mileage]]</f>
        <v>13500</v>
      </c>
      <c r="K78">
        <f ca="1">IF(YEAR(TODAY())=Table13467[[#This Row],[year]],0.8,YEAR(TODAY())-Table13467[[#This Row],[year]])</f>
        <v>2</v>
      </c>
      <c r="L7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0.955      -1,644</v>
      </c>
      <c r="M78" s="4">
        <f t="array" aca="1" ref="M78" ca="1">EXP(INDEX(LINEST(LN(Table13467[Price]),Table13467[Age]),1,2))*EXP(INDEX(LINEST(LN(Table13467[Price]),Table13467[Age]),1,1)*Table13467[[#This Row],[Age]])/Table13467[[#This Row],[Price]]</f>
        <v>1.0068622948556039</v>
      </c>
      <c r="N78" s="4">
        <f ca="1">Table13467[[#This Row],[Column1]]*VALUE(SUBSTITUTE(LEFT(Table13467[[#This Row],[normal price/real milage]],3),",",""))</f>
        <v>0.90617606537004347</v>
      </c>
      <c r="O78" s="4"/>
    </row>
    <row r="79" spans="1:15" x14ac:dyDescent="0.25">
      <c r="A79" s="1">
        <v>45081</v>
      </c>
      <c r="B79">
        <v>100</v>
      </c>
      <c r="C79" s="5">
        <v>18495</v>
      </c>
      <c r="D79">
        <v>2016</v>
      </c>
      <c r="E79" t="s">
        <v>110</v>
      </c>
      <c r="F79" t="s">
        <v>116</v>
      </c>
      <c r="G79">
        <v>181000</v>
      </c>
      <c r="H79" s="4">
        <f>Table13467[[#This Row],[Price]]/Table13467[[#This Row],[Mileage]]</f>
        <v>0.10218232044198895</v>
      </c>
      <c r="I79" s="3">
        <f ca="1">Table13467[[#This Row],[Price]]/Table13467[[#This Row],[Age]]</f>
        <v>2642.1428571428573</v>
      </c>
      <c r="J79" s="3">
        <f ca="1">Table13467[[#This Row],[Price/age]]/Table13467[[#This Row],[price/mileage]]</f>
        <v>25857.142857142859</v>
      </c>
      <c r="K79">
        <f ca="1">IF(YEAR(TODAY())=Table13467[[#This Row],[year]],0.8,YEAR(TODAY())-Table13467[[#This Row],[year]])</f>
        <v>7</v>
      </c>
      <c r="L7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0.849      -2,791</v>
      </c>
      <c r="M79" s="4">
        <f t="array" aca="1" ref="M79" ca="1">EXP(INDEX(LINEST(LN(Table13467[Price]),Table13467[Age]),1,2))*EXP(INDEX(LINEST(LN(Table13467[Price]),Table13467[Age]),1,1)*Table13467[[#This Row],[Age]])/Table13467[[#This Row],[Price]]</f>
        <v>1.1138561737989554</v>
      </c>
      <c r="N79" s="4">
        <f ca="1">Table13467[[#This Row],[Column1]]*VALUE(SUBSTITUTE(LEFT(Table13467[[#This Row],[normal price/real milage]],3),",",""))</f>
        <v>0.89108493903916441</v>
      </c>
      <c r="O79" s="4"/>
    </row>
    <row r="80" spans="1:15" x14ac:dyDescent="0.25">
      <c r="A80" s="1">
        <v>45081</v>
      </c>
      <c r="B80">
        <v>23</v>
      </c>
      <c r="C80" s="5">
        <v>16450</v>
      </c>
      <c r="D80">
        <v>2013</v>
      </c>
      <c r="E80" t="s">
        <v>110</v>
      </c>
      <c r="F80" t="s">
        <v>125</v>
      </c>
      <c r="G80">
        <v>169000</v>
      </c>
      <c r="H80" s="4">
        <f>Table13467[[#This Row],[Price]]/Table13467[[#This Row],[Mileage]]</f>
        <v>9.733727810650887E-2</v>
      </c>
      <c r="I80" s="3">
        <f ca="1">Table13467[[#This Row],[Price]]/Table13467[[#This Row],[Age]]</f>
        <v>1645</v>
      </c>
      <c r="J80" s="3">
        <f ca="1">Table13467[[#This Row],[Price/age]]/Table13467[[#This Row],[price/mileage]]</f>
        <v>16900</v>
      </c>
      <c r="K80">
        <f ca="1">IF(YEAR(TODAY())=Table13467[[#This Row],[year]],0.8,YEAR(TODAY())-Table13467[[#This Row],[year]])</f>
        <v>10</v>
      </c>
      <c r="L8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1.047      777</v>
      </c>
      <c r="M80" s="4">
        <f t="array" aca="1" ref="M80" ca="1">EXP(INDEX(LINEST(LN(Table13467[Price]),Table13467[Age]),1,2))*EXP(INDEX(LINEST(LN(Table13467[Price]),Table13467[Age]),1,1)*Table13467[[#This Row],[Age]])/Table13467[[#This Row],[Price]]</f>
        <v>0.87912322725950587</v>
      </c>
      <c r="N80" s="4">
        <f ca="1">Table13467[[#This Row],[Column1]]*VALUE(SUBSTITUTE(LEFT(Table13467[[#This Row],[normal price/real milage]],3),",",""))</f>
        <v>0.87912322725950587</v>
      </c>
      <c r="O80" s="4"/>
    </row>
    <row r="81" spans="1:15" x14ac:dyDescent="0.25">
      <c r="A81" s="1">
        <v>45081</v>
      </c>
      <c r="B81">
        <v>119</v>
      </c>
      <c r="C81" s="5">
        <v>33888</v>
      </c>
      <c r="D81">
        <v>2020</v>
      </c>
      <c r="E81" t="s">
        <v>110</v>
      </c>
      <c r="F81" t="s">
        <v>135</v>
      </c>
      <c r="G81">
        <v>46000</v>
      </c>
      <c r="H81" s="4">
        <f>Table13467[[#This Row],[Price]]/Table13467[[#This Row],[Mileage]]</f>
        <v>0.73669565217391308</v>
      </c>
      <c r="I81" s="3">
        <f ca="1">Table13467[[#This Row],[Price]]/Table13467[[#This Row],[Age]]</f>
        <v>11296</v>
      </c>
      <c r="J81" s="3">
        <f ca="1">Table13467[[#This Row],[Price/age]]/Table13467[[#This Row],[price/mileage]]</f>
        <v>15333.333333333332</v>
      </c>
      <c r="K81">
        <f ca="1">IF(YEAR(TODAY())=Table13467[[#This Row],[year]],0.8,YEAR(TODAY())-Table13467[[#This Row],[year]])</f>
        <v>3</v>
      </c>
      <c r="L8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0.969      -1,044</v>
      </c>
      <c r="M81" s="4">
        <f t="array" aca="1" ref="M81" ca="1">EXP(INDEX(LINEST(LN(Table13467[Price]),Table13467[Age]),1,2))*EXP(INDEX(LINEST(LN(Table13467[Price]),Table13467[Age]),1,1)*Table13467[[#This Row],[Age]])/Table13467[[#This Row],[Price]]</f>
        <v>0.97437898118776478</v>
      </c>
      <c r="N81" s="4">
        <f ca="1">Table13467[[#This Row],[Column1]]*VALUE(SUBSTITUTE(LEFT(Table13467[[#This Row],[normal price/real milage]],3),",",""))</f>
        <v>0.87694108306898833</v>
      </c>
      <c r="O81" s="4"/>
    </row>
    <row r="82" spans="1:15" x14ac:dyDescent="0.25">
      <c r="A82" s="1">
        <v>45081</v>
      </c>
      <c r="B82">
        <v>7</v>
      </c>
      <c r="C82" s="5">
        <v>33500</v>
      </c>
      <c r="D82">
        <v>2019</v>
      </c>
      <c r="E82" t="s">
        <v>110</v>
      </c>
      <c r="F82" t="s">
        <v>117</v>
      </c>
      <c r="G82">
        <v>31000</v>
      </c>
      <c r="H82" s="4">
        <f>Table13467[[#This Row],[Price]]/Table13467[[#This Row],[Mileage]]</f>
        <v>1.0806451612903225</v>
      </c>
      <c r="I82" s="3">
        <f ca="1">Table13467[[#This Row],[Price]]/Table13467[[#This Row],[Age]]</f>
        <v>8375</v>
      </c>
      <c r="J82" s="3">
        <f ca="1">Table13467[[#This Row],[Price/age]]/Table13467[[#This Row],[price/mileage]]</f>
        <v>7750.0000000000009</v>
      </c>
      <c r="K82">
        <f ca="1">IF(YEAR(TODAY())=Table13467[[#This Row],[year]],0.8,YEAR(TODAY())-Table13467[[#This Row],[year]])</f>
        <v>4</v>
      </c>
      <c r="L8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1.037      1,249</v>
      </c>
      <c r="M82" s="4">
        <f t="array" aca="1" ref="M82" ca="1">EXP(INDEX(LINEST(LN(Table13467[Price]),Table13467[Age]),1,2))*EXP(INDEX(LINEST(LN(Table13467[Price]),Table13467[Age]),1,1)*Table13467[[#This Row],[Age]])/Table13467[[#This Row],[Price]]</f>
        <v>0.87600470759296101</v>
      </c>
      <c r="N82" s="4">
        <f ca="1">Table13467[[#This Row],[Column1]]*VALUE(SUBSTITUTE(LEFT(Table13467[[#This Row],[normal price/real milage]],3),",",""))</f>
        <v>0.87600470759296101</v>
      </c>
      <c r="O82" s="4"/>
    </row>
    <row r="83" spans="1:15" x14ac:dyDescent="0.25">
      <c r="A83" s="1">
        <v>45081</v>
      </c>
      <c r="B83">
        <v>123</v>
      </c>
      <c r="C83" s="5">
        <v>23987</v>
      </c>
      <c r="D83">
        <v>2018</v>
      </c>
      <c r="E83" t="s">
        <v>150</v>
      </c>
      <c r="F83" t="s">
        <v>125</v>
      </c>
      <c r="G83">
        <v>135000</v>
      </c>
      <c r="H83" s="4">
        <f>Table13467[[#This Row],[Price]]/Table13467[[#This Row],[Mileage]]</f>
        <v>0.17768148148148147</v>
      </c>
      <c r="I83" s="3">
        <f ca="1">Table13467[[#This Row],[Price]]/Table13467[[#This Row],[Age]]</f>
        <v>4797.3999999999996</v>
      </c>
      <c r="J83" s="3">
        <f ca="1">Table13467[[#This Row],[Price/age]]/Table13467[[#This Row],[price/mileage]]</f>
        <v>27000</v>
      </c>
      <c r="K83">
        <f ca="1">IF(YEAR(TODAY())=Table13467[[#This Row],[year]],0.8,YEAR(TODAY())-Table13467[[#This Row],[year]])</f>
        <v>5</v>
      </c>
      <c r="L8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0.898      -2,443</v>
      </c>
      <c r="M83" s="4">
        <f t="array" aca="1" ref="M83" ca="1">EXP(INDEX(LINEST(LN(Table13467[Price]),Table13467[Age]),1,2))*EXP(INDEX(LINEST(LN(Table13467[Price]),Table13467[Age]),1,1)*Table13467[[#This Row],[Age]])/Table13467[[#This Row],[Price]]</f>
        <v>1.0873083259154293</v>
      </c>
      <c r="N83" s="4">
        <f ca="1">Table13467[[#This Row],[Column1]]*VALUE(SUBSTITUTE(LEFT(Table13467[[#This Row],[normal price/real milage]],3),",",""))</f>
        <v>0.8698466607323434</v>
      </c>
      <c r="O83" s="4"/>
    </row>
    <row r="84" spans="1:15" x14ac:dyDescent="0.25">
      <c r="A84" s="1">
        <v>45081</v>
      </c>
      <c r="B84">
        <v>142</v>
      </c>
      <c r="C84" s="5">
        <v>34688</v>
      </c>
      <c r="D84">
        <v>2021</v>
      </c>
      <c r="E84" t="s">
        <v>156</v>
      </c>
      <c r="F84" t="s">
        <v>116</v>
      </c>
      <c r="G84">
        <v>65000</v>
      </c>
      <c r="H84" s="4">
        <f>Table13467[[#This Row],[Price]]/Table13467[[#This Row],[Mileage]]</f>
        <v>0.53366153846153841</v>
      </c>
      <c r="I84" s="3">
        <f ca="1">Table13467[[#This Row],[Price]]/Table13467[[#This Row],[Age]]</f>
        <v>17344</v>
      </c>
      <c r="J84" s="3">
        <f ca="1">Table13467[[#This Row],[Price/age]]/Table13467[[#This Row],[price/mileage]]</f>
        <v>32500.000000000004</v>
      </c>
      <c r="K84">
        <f ca="1">IF(YEAR(TODAY())=Table13467[[#This Row],[year]],0.8,YEAR(TODAY())-Table13467[[#This Row],[year]])</f>
        <v>2</v>
      </c>
      <c r="L8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0.877      -4,256</v>
      </c>
      <c r="M84" s="4">
        <f t="array" aca="1" ref="M84" ca="1">EXP(INDEX(LINEST(LN(Table13467[Price]),Table13467[Age]),1,2))*EXP(INDEX(LINEST(LN(Table13467[Price]),Table13467[Age]),1,1)*Table13467[[#This Row],[Age]])/Table13467[[#This Row],[Price]]</f>
        <v>1.0710683429477568</v>
      </c>
      <c r="N84" s="4">
        <f ca="1">Table13467[[#This Row],[Column1]]*VALUE(SUBSTITUTE(LEFT(Table13467[[#This Row],[normal price/real milage]],3),",",""))</f>
        <v>0.8568546743582055</v>
      </c>
      <c r="O84" s="4"/>
    </row>
    <row r="85" spans="1:15" x14ac:dyDescent="0.25">
      <c r="A85" s="1">
        <v>45081</v>
      </c>
      <c r="B85">
        <v>95</v>
      </c>
      <c r="C85" s="5">
        <v>27490</v>
      </c>
      <c r="D85">
        <v>2018</v>
      </c>
      <c r="E85" t="s">
        <v>110</v>
      </c>
      <c r="F85" t="s">
        <v>141</v>
      </c>
      <c r="G85">
        <v>95000</v>
      </c>
      <c r="H85" s="4">
        <f>Table13467[[#This Row],[Price]]/Table13467[[#This Row],[Mileage]]</f>
        <v>0.28936842105263155</v>
      </c>
      <c r="I85" s="3">
        <f ca="1">Table13467[[#This Row],[Price]]/Table13467[[#This Row],[Age]]</f>
        <v>5498</v>
      </c>
      <c r="J85" s="3">
        <f ca="1">Table13467[[#This Row],[Price/age]]/Table13467[[#This Row],[price/mileage]]</f>
        <v>19000</v>
      </c>
      <c r="K85">
        <f ca="1">IF(YEAR(TODAY())=Table13467[[#This Row],[year]],0.8,YEAR(TODAY())-Table13467[[#This Row],[year]])</f>
        <v>5</v>
      </c>
      <c r="L8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0.968      -867</v>
      </c>
      <c r="M85" s="4">
        <f t="array" aca="1" ref="M85" ca="1">EXP(INDEX(LINEST(LN(Table13467[Price]),Table13467[Age]),1,2))*EXP(INDEX(LINEST(LN(Table13467[Price]),Table13467[Age]),1,1)*Table13467[[#This Row],[Age]])/Table13467[[#This Row],[Price]]</f>
        <v>0.9487546312744054</v>
      </c>
      <c r="N85" s="4">
        <f ca="1">Table13467[[#This Row],[Column1]]*VALUE(SUBSTITUTE(LEFT(Table13467[[#This Row],[normal price/real milage]],3),",",""))</f>
        <v>0.85387916814696485</v>
      </c>
      <c r="O85" s="4"/>
    </row>
    <row r="86" spans="1:15" x14ac:dyDescent="0.25">
      <c r="A86" s="1">
        <v>45081</v>
      </c>
      <c r="B86">
        <v>104</v>
      </c>
      <c r="C86" s="5">
        <v>17000</v>
      </c>
      <c r="D86">
        <v>2013</v>
      </c>
      <c r="E86" t="s">
        <v>110</v>
      </c>
      <c r="F86" t="s">
        <v>112</v>
      </c>
      <c r="G86">
        <v>168000</v>
      </c>
      <c r="H86" s="4">
        <f>Table13467[[#This Row],[Price]]/Table13467[[#This Row],[Mileage]]</f>
        <v>0.10119047619047619</v>
      </c>
      <c r="I86" s="3">
        <f ca="1">Table13467[[#This Row],[Price]]/Table13467[[#This Row],[Age]]</f>
        <v>1700</v>
      </c>
      <c r="J86" s="3">
        <f ca="1">Table13467[[#This Row],[Price/age]]/Table13467[[#This Row],[price/mileage]]</f>
        <v>16800</v>
      </c>
      <c r="K86">
        <f ca="1">IF(YEAR(TODAY())=Table13467[[#This Row],[year]],0.8,YEAR(TODAY())-Table13467[[#This Row],[year]])</f>
        <v>10</v>
      </c>
      <c r="L8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1.021      354</v>
      </c>
      <c r="M86" s="4">
        <f t="array" aca="1" ref="M86" ca="1">EXP(INDEX(LINEST(LN(Table13467[Price]),Table13467[Age]),1,2))*EXP(INDEX(LINEST(LN(Table13467[Price]),Table13467[Age]),1,1)*Table13467[[#This Row],[Age]])/Table13467[[#This Row],[Price]]</f>
        <v>0.85068100520111012</v>
      </c>
      <c r="N86" s="4">
        <f ca="1">Table13467[[#This Row],[Column1]]*VALUE(SUBSTITUTE(LEFT(Table13467[[#This Row],[normal price/real milage]],3),",",""))</f>
        <v>0.85068100520111012</v>
      </c>
      <c r="O86" s="4"/>
    </row>
    <row r="87" spans="1:15" x14ac:dyDescent="0.25">
      <c r="A87" s="1">
        <v>45081</v>
      </c>
      <c r="B87">
        <v>106</v>
      </c>
      <c r="C87" s="5">
        <v>39600</v>
      </c>
      <c r="D87">
        <v>2021</v>
      </c>
      <c r="E87" t="s">
        <v>110</v>
      </c>
      <c r="F87" t="s">
        <v>128</v>
      </c>
      <c r="G87">
        <v>16000</v>
      </c>
      <c r="H87" s="4">
        <f>Table13467[[#This Row],[Price]]/Table13467[[#This Row],[Mileage]]</f>
        <v>2.4750000000000001</v>
      </c>
      <c r="I87" s="3">
        <f ca="1">Table13467[[#This Row],[Price]]/Table13467[[#This Row],[Age]]</f>
        <v>19800</v>
      </c>
      <c r="J87" s="3">
        <f ca="1">Table13467[[#This Row],[Price/age]]/Table13467[[#This Row],[price/mileage]]</f>
        <v>8000</v>
      </c>
      <c r="K87">
        <f ca="1">IF(YEAR(TODAY())=Table13467[[#This Row],[year]],0.8,YEAR(TODAY())-Table13467[[#This Row],[year]])</f>
        <v>2</v>
      </c>
      <c r="L8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0.926      -2,947</v>
      </c>
      <c r="M87" s="4">
        <f t="array" aca="1" ref="M87" ca="1">EXP(INDEX(LINEST(LN(Table13467[Price]),Table13467[Age]),1,2))*EXP(INDEX(LINEST(LN(Table13467[Price]),Table13467[Age]),1,1)*Table13467[[#This Row],[Age]])/Table13467[[#This Row],[Price]]</f>
        <v>0.93821259293363091</v>
      </c>
      <c r="N87" s="4">
        <f ca="1">Table13467[[#This Row],[Column1]]*VALUE(SUBSTITUTE(LEFT(Table13467[[#This Row],[normal price/real milage]],3),",",""))</f>
        <v>0.84439133364026786</v>
      </c>
      <c r="O87" s="4"/>
    </row>
    <row r="88" spans="1:15" x14ac:dyDescent="0.25">
      <c r="A88" s="1">
        <v>45081</v>
      </c>
      <c r="B88">
        <v>86</v>
      </c>
      <c r="C88" s="5">
        <v>35495</v>
      </c>
      <c r="D88">
        <v>2019</v>
      </c>
      <c r="E88" t="s">
        <v>110</v>
      </c>
      <c r="F88" t="s">
        <v>116</v>
      </c>
      <c r="G88">
        <v>18000</v>
      </c>
      <c r="H88" s="4">
        <f>Table13467[[#This Row],[Price]]/Table13467[[#This Row],[Mileage]]</f>
        <v>1.9719444444444445</v>
      </c>
      <c r="I88" s="3">
        <f ca="1">Table13467[[#This Row],[Price]]/Table13467[[#This Row],[Age]]</f>
        <v>8873.75</v>
      </c>
      <c r="J88" s="3">
        <f ca="1">Table13467[[#This Row],[Price/age]]/Table13467[[#This Row],[price/mileage]]</f>
        <v>4500</v>
      </c>
      <c r="K88">
        <f ca="1">IF(YEAR(TODAY())=Table13467[[#This Row],[year]],0.8,YEAR(TODAY())-Table13467[[#This Row],[year]])</f>
        <v>4</v>
      </c>
      <c r="L8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1.025      904</v>
      </c>
      <c r="M88" s="4">
        <f t="array" aca="1" ref="M88" ca="1">EXP(INDEX(LINEST(LN(Table13467[Price]),Table13467[Age]),1,2))*EXP(INDEX(LINEST(LN(Table13467[Price]),Table13467[Age]),1,1)*Table13467[[#This Row],[Age]])/Table13467[[#This Row],[Price]]</f>
        <v>0.8267687760068797</v>
      </c>
      <c r="N88" s="4">
        <f ca="1">Table13467[[#This Row],[Column1]]*VALUE(SUBSTITUTE(LEFT(Table13467[[#This Row],[normal price/real milage]],3),",",""))</f>
        <v>0.8267687760068797</v>
      </c>
      <c r="O88" s="4"/>
    </row>
    <row r="89" spans="1:15" x14ac:dyDescent="0.25">
      <c r="A89" s="1">
        <v>45081</v>
      </c>
      <c r="B89">
        <v>36</v>
      </c>
      <c r="C89" s="5">
        <v>31950</v>
      </c>
      <c r="D89">
        <v>2019</v>
      </c>
      <c r="E89" t="s">
        <v>110</v>
      </c>
      <c r="F89" t="s">
        <v>116</v>
      </c>
      <c r="G89">
        <v>66000</v>
      </c>
      <c r="H89" s="4">
        <f>Table13467[[#This Row],[Price]]/Table13467[[#This Row],[Mileage]]</f>
        <v>0.48409090909090907</v>
      </c>
      <c r="I89" s="3">
        <f ca="1">Table13467[[#This Row],[Price]]/Table13467[[#This Row],[Age]]</f>
        <v>7987.5</v>
      </c>
      <c r="J89" s="3">
        <f ca="1">Table13467[[#This Row],[Price/age]]/Table13467[[#This Row],[price/mileage]]</f>
        <v>16500</v>
      </c>
      <c r="K89">
        <f ca="1">IF(YEAR(TODAY())=Table13467[[#This Row],[year]],0.8,YEAR(TODAY())-Table13467[[#This Row],[year]])</f>
        <v>4</v>
      </c>
      <c r="L8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0.949      -1,645</v>
      </c>
      <c r="M89" s="4">
        <f t="array" aca="1" ref="M89" ca="1">EXP(INDEX(LINEST(LN(Table13467[Price]),Table13467[Age]),1,2))*EXP(INDEX(LINEST(LN(Table13467[Price]),Table13467[Age]),1,1)*Table13467[[#This Row],[Age]])/Table13467[[#This Row],[Price]]</f>
        <v>0.91850258855599987</v>
      </c>
      <c r="N89" s="4">
        <f ca="1">Table13467[[#This Row],[Column1]]*VALUE(SUBSTITUTE(LEFT(Table13467[[#This Row],[normal price/real milage]],3),",",""))</f>
        <v>0.82665232970039992</v>
      </c>
      <c r="O89" s="4"/>
    </row>
    <row r="90" spans="1:15" x14ac:dyDescent="0.25">
      <c r="A90" s="1">
        <v>45081</v>
      </c>
      <c r="B90">
        <v>117</v>
      </c>
      <c r="C90" s="5">
        <v>19186</v>
      </c>
      <c r="D90">
        <v>2018</v>
      </c>
      <c r="E90" t="s">
        <v>110</v>
      </c>
      <c r="F90" t="s">
        <v>111</v>
      </c>
      <c r="G90">
        <v>209000</v>
      </c>
      <c r="H90" s="4">
        <f>Table13467[[#This Row],[Price]]/Table13467[[#This Row],[Mileage]]</f>
        <v>9.1799043062200963E-2</v>
      </c>
      <c r="I90" s="3">
        <f ca="1">Table13467[[#This Row],[Price]]/Table13467[[#This Row],[Age]]</f>
        <v>3837.2</v>
      </c>
      <c r="J90" s="3">
        <f ca="1">Table13467[[#This Row],[Price/age]]/Table13467[[#This Row],[price/mileage]]</f>
        <v>41799.999999999993</v>
      </c>
      <c r="K90">
        <f ca="1">IF(YEAR(TODAY())=Table13467[[#This Row],[year]],0.8,YEAR(TODAY())-Table13467[[#This Row],[year]])</f>
        <v>5</v>
      </c>
      <c r="L9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0.633      -7,037</v>
      </c>
      <c r="M90" s="4">
        <f t="array" aca="1" ref="M90" ca="1">EXP(INDEX(LINEST(LN(Table13467[Price]),Table13467[Age]),1,2))*EXP(INDEX(LINEST(LN(Table13467[Price]),Table13467[Age]),1,1)*Table13467[[#This Row],[Age]])/Table13467[[#This Row],[Price]]</f>
        <v>1.3593904312380591</v>
      </c>
      <c r="N90" s="4">
        <f ca="1">Table13467[[#This Row],[Column1]]*VALUE(SUBSTITUTE(LEFT(Table13467[[#This Row],[normal price/real milage]],3),",",""))</f>
        <v>0.81563425874283546</v>
      </c>
      <c r="O90" s="4"/>
    </row>
    <row r="91" spans="1:15" x14ac:dyDescent="0.25">
      <c r="A91" s="1">
        <v>45081</v>
      </c>
      <c r="B91">
        <v>8</v>
      </c>
      <c r="C91" s="5">
        <v>25800</v>
      </c>
      <c r="D91">
        <v>2018</v>
      </c>
      <c r="E91" t="s">
        <v>110</v>
      </c>
      <c r="F91" t="s">
        <v>118</v>
      </c>
      <c r="G91">
        <v>123000</v>
      </c>
      <c r="H91" s="4">
        <f>Table13467[[#This Row],[Price]]/Table13467[[#This Row],[Mileage]]</f>
        <v>0.2097560975609756</v>
      </c>
      <c r="I91" s="3">
        <f ca="1">Table13467[[#This Row],[Price]]/Table13467[[#This Row],[Age]]</f>
        <v>5160</v>
      </c>
      <c r="J91" s="3">
        <f ca="1">Table13467[[#This Row],[Price/age]]/Table13467[[#This Row],[price/mileage]]</f>
        <v>24600</v>
      </c>
      <c r="K91">
        <f ca="1">IF(YEAR(TODAY())=Table13467[[#This Row],[year]],0.8,YEAR(TODAY())-Table13467[[#This Row],[year]])</f>
        <v>5</v>
      </c>
      <c r="L9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0.894      -2,732</v>
      </c>
      <c r="M91" s="4">
        <f t="array" aca="1" ref="M91" ca="1">EXP(INDEX(LINEST(LN(Table13467[Price]),Table13467[Age]),1,2))*EXP(INDEX(LINEST(LN(Table13467[Price]),Table13467[Age]),1,1)*Table13467[[#This Row],[Age]])/Table13467[[#This Row],[Price]]</f>
        <v>1.0109017369664111</v>
      </c>
      <c r="N91" s="4">
        <f ca="1">Table13467[[#This Row],[Column1]]*VALUE(SUBSTITUTE(LEFT(Table13467[[#This Row],[normal price/real milage]],3),",",""))</f>
        <v>0.80872138957312889</v>
      </c>
      <c r="O91" s="4"/>
    </row>
    <row r="92" spans="1:15" x14ac:dyDescent="0.25">
      <c r="A92" s="1">
        <v>45081</v>
      </c>
      <c r="B92">
        <v>101</v>
      </c>
      <c r="C92" s="5">
        <v>32900</v>
      </c>
      <c r="D92">
        <v>2020</v>
      </c>
      <c r="E92" t="s">
        <v>113</v>
      </c>
      <c r="F92" t="s">
        <v>116</v>
      </c>
      <c r="G92">
        <v>75000</v>
      </c>
      <c r="H92" s="4">
        <f>Table13467[[#This Row],[Price]]/Table13467[[#This Row],[Mileage]]</f>
        <v>0.43866666666666665</v>
      </c>
      <c r="I92" s="3">
        <f ca="1">Table13467[[#This Row],[Price]]/Table13467[[#This Row],[Age]]</f>
        <v>10966.666666666666</v>
      </c>
      <c r="J92" s="3">
        <f ca="1">Table13467[[#This Row],[Price/age]]/Table13467[[#This Row],[price/mileage]]</f>
        <v>25000</v>
      </c>
      <c r="K92">
        <f ca="1">IF(YEAR(TODAY())=Table13467[[#This Row],[year]],0.8,YEAR(TODAY())-Table13467[[#This Row],[year]])</f>
        <v>3</v>
      </c>
      <c r="L9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0.886      -3,738</v>
      </c>
      <c r="M92" s="4">
        <f t="array" aca="1" ref="M92" ca="1">EXP(INDEX(LINEST(LN(Table13467[Price]),Table13467[Age]),1,2))*EXP(INDEX(LINEST(LN(Table13467[Price]),Table13467[Age]),1,1)*Table13467[[#This Row],[Age]])/Table13467[[#This Row],[Price]]</f>
        <v>1.0036399670058047</v>
      </c>
      <c r="N92" s="4">
        <f ca="1">Table13467[[#This Row],[Column1]]*VALUE(SUBSTITUTE(LEFT(Table13467[[#This Row],[normal price/real milage]],3),",",""))</f>
        <v>0.80291197360464384</v>
      </c>
      <c r="O92" s="4"/>
    </row>
    <row r="93" spans="1:15" x14ac:dyDescent="0.25">
      <c r="A93" s="1">
        <v>45081</v>
      </c>
      <c r="B93">
        <v>140</v>
      </c>
      <c r="C93" s="5">
        <v>15995</v>
      </c>
      <c r="D93">
        <v>2015</v>
      </c>
      <c r="E93" t="s">
        <v>155</v>
      </c>
      <c r="F93" t="s">
        <v>116</v>
      </c>
      <c r="G93">
        <v>213000</v>
      </c>
      <c r="H93" s="4">
        <f>Table13467[[#This Row],[Price]]/Table13467[[#This Row],[Mileage]]</f>
        <v>7.5093896713615021E-2</v>
      </c>
      <c r="I93" s="3">
        <f ca="1">Table13467[[#This Row],[Price]]/Table13467[[#This Row],[Age]]</f>
        <v>1999.375</v>
      </c>
      <c r="J93" s="3">
        <f ca="1">Table13467[[#This Row],[Price/age]]/Table13467[[#This Row],[price/mileage]]</f>
        <v>26625</v>
      </c>
      <c r="K93">
        <f ca="1">IF(YEAR(TODAY())=Table13467[[#This Row],[year]],0.8,YEAR(TODAY())-Table13467[[#This Row],[year]])</f>
        <v>8</v>
      </c>
      <c r="L9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0.728      -4,354</v>
      </c>
      <c r="M93" s="4">
        <f t="array" aca="1" ref="M93" ca="1">EXP(INDEX(LINEST(LN(Table13467[Price]),Table13467[Age]),1,2))*EXP(INDEX(LINEST(LN(Table13467[Price]),Table13467[Age]),1,1)*Table13467[[#This Row],[Age]])/Table13467[[#This Row],[Price]]</f>
        <v>1.1446602702316901</v>
      </c>
      <c r="N93" s="4">
        <f ca="1">Table13467[[#This Row],[Column1]]*VALUE(SUBSTITUTE(LEFT(Table13467[[#This Row],[normal price/real milage]],3),",",""))</f>
        <v>0.80126218916218306</v>
      </c>
      <c r="O93" s="4"/>
    </row>
    <row r="94" spans="1:15" x14ac:dyDescent="0.25">
      <c r="A94" s="1">
        <v>45081</v>
      </c>
      <c r="B94">
        <v>21</v>
      </c>
      <c r="C94" s="5">
        <v>42000</v>
      </c>
      <c r="D94">
        <v>2022</v>
      </c>
      <c r="E94" t="s">
        <v>110</v>
      </c>
      <c r="F94" t="s">
        <v>123</v>
      </c>
      <c r="G94">
        <v>15000</v>
      </c>
      <c r="H94" s="4">
        <f>Table13467[[#This Row],[Price]]/Table13467[[#This Row],[Mileage]]</f>
        <v>2.8</v>
      </c>
      <c r="I94" s="3">
        <f ca="1">Table13467[[#This Row],[Price]]/Table13467[[#This Row],[Age]]</f>
        <v>42000</v>
      </c>
      <c r="J94" s="3">
        <f ca="1">Table13467[[#This Row],[Price/age]]/Table13467[[#This Row],[price/mileage]]</f>
        <v>15000.000000000002</v>
      </c>
      <c r="K94">
        <f ca="1">IF(YEAR(TODAY())=Table13467[[#This Row],[year]],0.8,YEAR(TODAY())-Table13467[[#This Row],[year]])</f>
        <v>1</v>
      </c>
      <c r="L9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0.876      -5,220</v>
      </c>
      <c r="M94" s="4">
        <f t="array" aca="1" ref="M94" ca="1">EXP(INDEX(LINEST(LN(Table13467[Price]),Table13467[Age]),1,2))*EXP(INDEX(LINEST(LN(Table13467[Price]),Table13467[Age]),1,1)*Table13467[[#This Row],[Age]])/Table13467[[#This Row],[Price]]</f>
        <v>0.99533609059420458</v>
      </c>
      <c r="N94" s="4">
        <f ca="1">Table13467[[#This Row],[Column1]]*VALUE(SUBSTITUTE(LEFT(Table13467[[#This Row],[normal price/real milage]],3),",",""))</f>
        <v>0.79626887247536371</v>
      </c>
      <c r="O94" s="4"/>
    </row>
    <row r="95" spans="1:15" x14ac:dyDescent="0.25">
      <c r="A95" s="1">
        <v>45081</v>
      </c>
      <c r="B95">
        <v>67</v>
      </c>
      <c r="C95" s="5">
        <v>33950</v>
      </c>
      <c r="D95">
        <v>2019</v>
      </c>
      <c r="E95" t="s">
        <v>110</v>
      </c>
      <c r="F95" t="s">
        <v>116</v>
      </c>
      <c r="G95">
        <v>47000</v>
      </c>
      <c r="H95" s="4">
        <f>Table13467[[#This Row],[Price]]/Table13467[[#This Row],[Mileage]]</f>
        <v>0.72234042553191491</v>
      </c>
      <c r="I95" s="3">
        <f ca="1">Table13467[[#This Row],[Price]]/Table13467[[#This Row],[Age]]</f>
        <v>8487.5</v>
      </c>
      <c r="J95" s="3">
        <f ca="1">Table13467[[#This Row],[Price/age]]/Table13467[[#This Row],[price/mileage]]</f>
        <v>11750</v>
      </c>
      <c r="K95">
        <f ca="1">IF(YEAR(TODAY())=Table13467[[#This Row],[year]],0.8,YEAR(TODAY())-Table13467[[#This Row],[year]])</f>
        <v>4</v>
      </c>
      <c r="L9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0.964      -1,233</v>
      </c>
      <c r="M95" s="4">
        <f t="array" aca="1" ref="M95" ca="1">EXP(INDEX(LINEST(LN(Table13467[Price]),Table13467[Age]),1,2))*EXP(INDEX(LINEST(LN(Table13467[Price]),Table13467[Age]),1,1)*Table13467[[#This Row],[Age]])/Table13467[[#This Row],[Price]]</f>
        <v>0.86439345226404107</v>
      </c>
      <c r="N95" s="4">
        <f ca="1">Table13467[[#This Row],[Column1]]*VALUE(SUBSTITUTE(LEFT(Table13467[[#This Row],[normal price/real milage]],3),",",""))</f>
        <v>0.77795410703763701</v>
      </c>
      <c r="O95" s="4"/>
    </row>
    <row r="96" spans="1:15" x14ac:dyDescent="0.25">
      <c r="A96" s="1">
        <v>45081</v>
      </c>
      <c r="B96">
        <v>61</v>
      </c>
      <c r="C96" s="5">
        <v>26990</v>
      </c>
      <c r="D96">
        <v>2017</v>
      </c>
      <c r="E96" t="s">
        <v>134</v>
      </c>
      <c r="F96" t="s">
        <v>135</v>
      </c>
      <c r="G96">
        <v>106000</v>
      </c>
      <c r="H96" s="4">
        <f>Table13467[[#This Row],[Price]]/Table13467[[#This Row],[Mileage]]</f>
        <v>0.25462264150943398</v>
      </c>
      <c r="I96" s="3">
        <f ca="1">Table13467[[#This Row],[Price]]/Table13467[[#This Row],[Age]]</f>
        <v>4498.333333333333</v>
      </c>
      <c r="J96" s="3">
        <f ca="1">Table13467[[#This Row],[Price/age]]/Table13467[[#This Row],[price/mileage]]</f>
        <v>17666.666666666664</v>
      </c>
      <c r="K96">
        <f ca="1">IF(YEAR(TODAY())=Table13467[[#This Row],[year]],0.8,YEAR(TODAY())-Table13467[[#This Row],[year]])</f>
        <v>6</v>
      </c>
      <c r="L9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0.935      -1,764</v>
      </c>
      <c r="M96" s="4">
        <f t="array" aca="1" ref="M96" ca="1">EXP(INDEX(LINEST(LN(Table13467[Price]),Table13467[Age]),1,2))*EXP(INDEX(LINEST(LN(Table13467[Price]),Table13467[Age]),1,1)*Table13467[[#This Row],[Age]])/Table13467[[#This Row],[Price]]</f>
        <v>0.85882200951857779</v>
      </c>
      <c r="N96" s="4">
        <f ca="1">Table13467[[#This Row],[Column1]]*VALUE(SUBSTITUTE(LEFT(Table13467[[#This Row],[normal price/real milage]],3),",",""))</f>
        <v>0.77293980856672007</v>
      </c>
      <c r="O96" s="4"/>
    </row>
    <row r="97" spans="1:15" x14ac:dyDescent="0.25">
      <c r="A97" s="1">
        <v>45081</v>
      </c>
      <c r="B97">
        <v>60</v>
      </c>
      <c r="C97" s="5">
        <v>34500</v>
      </c>
      <c r="D97">
        <v>2019</v>
      </c>
      <c r="E97" t="s">
        <v>110</v>
      </c>
      <c r="F97" t="s">
        <v>133</v>
      </c>
      <c r="G97">
        <v>57000</v>
      </c>
      <c r="H97" s="4">
        <f>Table13467[[#This Row],[Price]]/Table13467[[#This Row],[Mileage]]</f>
        <v>0.60526315789473684</v>
      </c>
      <c r="I97" s="3">
        <f ca="1">Table13467[[#This Row],[Price]]/Table13467[[#This Row],[Age]]</f>
        <v>8625</v>
      </c>
      <c r="J97" s="3">
        <f ca="1">Table13467[[#This Row],[Price/age]]/Table13467[[#This Row],[price/mileage]]</f>
        <v>14250</v>
      </c>
      <c r="K97">
        <f ca="1">IF(YEAR(TODAY())=Table13467[[#This Row],[year]],0.8,YEAR(TODAY())-Table13467[[#This Row],[year]])</f>
        <v>4</v>
      </c>
      <c r="L9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0.912      -3,053</v>
      </c>
      <c r="M97" s="4">
        <f t="array" aca="1" ref="M97" ca="1">EXP(INDEX(LINEST(LN(Table13467[Price]),Table13467[Age]),1,2))*EXP(INDEX(LINEST(LN(Table13467[Price]),Table13467[Age]),1,1)*Table13467[[#This Row],[Age]])/Table13467[[#This Row],[Price]]</f>
        <v>0.85061326679316507</v>
      </c>
      <c r="N97" s="4">
        <f ca="1">Table13467[[#This Row],[Column1]]*VALUE(SUBSTITUTE(LEFT(Table13467[[#This Row],[normal price/real milage]],3),",",""))</f>
        <v>0.76555194011384853</v>
      </c>
      <c r="O97" s="4"/>
    </row>
    <row r="98" spans="1:15" x14ac:dyDescent="0.25">
      <c r="A98" s="1">
        <v>45081</v>
      </c>
      <c r="B98">
        <v>58</v>
      </c>
      <c r="C98" s="5">
        <v>23999</v>
      </c>
      <c r="D98">
        <v>2018</v>
      </c>
      <c r="E98" t="s">
        <v>110</v>
      </c>
      <c r="F98" t="s">
        <v>116</v>
      </c>
      <c r="G98">
        <v>159000</v>
      </c>
      <c r="H98" s="4">
        <f>Table13467[[#This Row],[Price]]/Table13467[[#This Row],[Mileage]]</f>
        <v>0.150937106918239</v>
      </c>
      <c r="I98" s="3">
        <f ca="1">Table13467[[#This Row],[Price]]/Table13467[[#This Row],[Age]]</f>
        <v>4799.8</v>
      </c>
      <c r="J98" s="3">
        <f ca="1">Table13467[[#This Row],[Price/age]]/Table13467[[#This Row],[price/mileage]]</f>
        <v>31800</v>
      </c>
      <c r="K98">
        <f ca="1">IF(YEAR(TODAY())=Table13467[[#This Row],[year]],0.8,YEAR(TODAY())-Table13467[[#This Row],[year]])</f>
        <v>5</v>
      </c>
      <c r="L9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0.771      -5,502</v>
      </c>
      <c r="M98" s="4">
        <f t="array" aca="1" ref="M98" ca="1">EXP(INDEX(LINEST(LN(Table13467[Price]),Table13467[Age]),1,2))*EXP(INDEX(LINEST(LN(Table13467[Price]),Table13467[Age]),1,1)*Table13467[[#This Row],[Age]])/Table13467[[#This Row],[Price]]</f>
        <v>1.0867646490992708</v>
      </c>
      <c r="N98" s="4">
        <f ca="1">Table13467[[#This Row],[Column1]]*VALUE(SUBSTITUTE(LEFT(Table13467[[#This Row],[normal price/real milage]],3),",",""))</f>
        <v>0.76073525436948952</v>
      </c>
      <c r="O98" s="4"/>
    </row>
    <row r="99" spans="1:15" x14ac:dyDescent="0.25">
      <c r="A99" s="1">
        <v>45081</v>
      </c>
      <c r="B99">
        <v>125</v>
      </c>
      <c r="C99" s="5">
        <v>39900</v>
      </c>
      <c r="D99">
        <v>2021</v>
      </c>
      <c r="E99" t="s">
        <v>151</v>
      </c>
      <c r="F99" t="s">
        <v>116</v>
      </c>
      <c r="G99">
        <v>23000</v>
      </c>
      <c r="H99" s="4">
        <f>Table13467[[#This Row],[Price]]/Table13467[[#This Row],[Mileage]]</f>
        <v>1.7347826086956522</v>
      </c>
      <c r="I99" s="3">
        <f ca="1">Table13467[[#This Row],[Price]]/Table13467[[#This Row],[Age]]</f>
        <v>19950</v>
      </c>
      <c r="J99" s="3">
        <f ca="1">Table13467[[#This Row],[Price/age]]/Table13467[[#This Row],[price/mileage]]</f>
        <v>11500</v>
      </c>
      <c r="K99">
        <f ca="1">IF(YEAR(TODAY())=Table13467[[#This Row],[year]],0.8,YEAR(TODAY())-Table13467[[#This Row],[year]])</f>
        <v>2</v>
      </c>
      <c r="L9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0.896      -4,136</v>
      </c>
      <c r="M99" s="4">
        <f t="array" aca="1" ref="M99" ca="1">EXP(INDEX(LINEST(LN(Table13467[Price]),Table13467[Age]),1,2))*EXP(INDEX(LINEST(LN(Table13467[Price]),Table13467[Age]),1,1)*Table13467[[#This Row],[Age]])/Table13467[[#This Row],[Price]]</f>
        <v>0.9311583629115735</v>
      </c>
      <c r="N99" s="4">
        <f ca="1">Table13467[[#This Row],[Column1]]*VALUE(SUBSTITUTE(LEFT(Table13467[[#This Row],[normal price/real milage]],3),",",""))</f>
        <v>0.74492669032925884</v>
      </c>
      <c r="O99" s="4"/>
    </row>
    <row r="100" spans="1:15" x14ac:dyDescent="0.25">
      <c r="A100" s="1">
        <v>45081</v>
      </c>
      <c r="B100">
        <v>99</v>
      </c>
      <c r="C100" s="5">
        <v>28400</v>
      </c>
      <c r="D100">
        <v>2018</v>
      </c>
      <c r="E100" t="s">
        <v>110</v>
      </c>
      <c r="F100" t="s">
        <v>125</v>
      </c>
      <c r="G100">
        <v>105000</v>
      </c>
      <c r="H100" s="4">
        <f>Table13467[[#This Row],[Price]]/Table13467[[#This Row],[Mileage]]</f>
        <v>0.27047619047619048</v>
      </c>
      <c r="I100" s="3">
        <f ca="1">Table13467[[#This Row],[Price]]/Table13467[[#This Row],[Age]]</f>
        <v>5680</v>
      </c>
      <c r="J100" s="3">
        <f ca="1">Table13467[[#This Row],[Price/age]]/Table13467[[#This Row],[price/mileage]]</f>
        <v>21000</v>
      </c>
      <c r="K100">
        <f ca="1">IF(YEAR(TODAY())=Table13467[[#This Row],[year]],0.8,YEAR(TODAY())-Table13467[[#This Row],[year]])</f>
        <v>5</v>
      </c>
      <c r="L10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0.893      -3,047</v>
      </c>
      <c r="M100" s="4">
        <f t="array" aca="1" ref="M100" ca="1">EXP(INDEX(LINEST(LN(Table13467[Price]),Table13467[Age]),1,2))*EXP(INDEX(LINEST(LN(Table13467[Price]),Table13467[Age]),1,1)*Table13467[[#This Row],[Age]])/Table13467[[#This Row],[Price]]</f>
        <v>0.91835439484976777</v>
      </c>
      <c r="N100" s="4">
        <f ca="1">Table13467[[#This Row],[Column1]]*VALUE(SUBSTITUTE(LEFT(Table13467[[#This Row],[normal price/real milage]],3),",",""))</f>
        <v>0.73468351587981429</v>
      </c>
      <c r="O100" s="4"/>
    </row>
    <row r="101" spans="1:15" x14ac:dyDescent="0.25">
      <c r="A101" s="1">
        <v>45081</v>
      </c>
      <c r="B101">
        <v>130</v>
      </c>
      <c r="C101" s="5">
        <v>36000</v>
      </c>
      <c r="D101">
        <v>2019</v>
      </c>
      <c r="E101" t="s">
        <v>110</v>
      </c>
      <c r="F101" t="s">
        <v>116</v>
      </c>
      <c r="G101">
        <v>36000</v>
      </c>
      <c r="H101" s="4">
        <f>Table13467[[#This Row],[Price]]/Table13467[[#This Row],[Mileage]]</f>
        <v>1</v>
      </c>
      <c r="I101" s="3">
        <f ca="1">Table13467[[#This Row],[Price]]/Table13467[[#This Row],[Age]]</f>
        <v>9000</v>
      </c>
      <c r="J101" s="3">
        <f ca="1">Table13467[[#This Row],[Price/age]]/Table13467[[#This Row],[price/mileage]]</f>
        <v>9000</v>
      </c>
      <c r="K101">
        <f ca="1">IF(YEAR(TODAY())=Table13467[[#This Row],[year]],0.8,YEAR(TODAY())-Table13467[[#This Row],[year]])</f>
        <v>4</v>
      </c>
      <c r="L10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0.948      -1,886</v>
      </c>
      <c r="M101" s="4">
        <f t="array" aca="1" ref="M101" ca="1">EXP(INDEX(LINEST(LN(Table13467[Price]),Table13467[Age]),1,2))*EXP(INDEX(LINEST(LN(Table13467[Price]),Table13467[Age]),1,1)*Table13467[[#This Row],[Age]])/Table13467[[#This Row],[Price]]</f>
        <v>0.81517104734344992</v>
      </c>
      <c r="N101" s="4">
        <f ca="1">Table13467[[#This Row],[Column1]]*VALUE(SUBSTITUTE(LEFT(Table13467[[#This Row],[normal price/real milage]],3),",",""))</f>
        <v>0.73365394260910499</v>
      </c>
      <c r="O101" s="4"/>
    </row>
    <row r="102" spans="1:15" x14ac:dyDescent="0.25">
      <c r="A102" s="1">
        <v>45081</v>
      </c>
      <c r="B102">
        <v>82</v>
      </c>
      <c r="C102" s="5">
        <v>29000</v>
      </c>
      <c r="D102">
        <v>2018</v>
      </c>
      <c r="E102" t="s">
        <v>110</v>
      </c>
      <c r="F102" t="s">
        <v>116</v>
      </c>
      <c r="G102">
        <v>115000</v>
      </c>
      <c r="H102" s="4">
        <f>Table13467[[#This Row],[Price]]/Table13467[[#This Row],[Mileage]]</f>
        <v>0.25217391304347825</v>
      </c>
      <c r="I102" s="3">
        <f ca="1">Table13467[[#This Row],[Price]]/Table13467[[#This Row],[Age]]</f>
        <v>5800</v>
      </c>
      <c r="J102" s="3">
        <f ca="1">Table13467[[#This Row],[Price/age]]/Table13467[[#This Row],[price/mileage]]</f>
        <v>23000</v>
      </c>
      <c r="K102">
        <f ca="1">IF(YEAR(TODAY())=Table13467[[#This Row],[year]],0.8,YEAR(TODAY())-Table13467[[#This Row],[year]])</f>
        <v>5</v>
      </c>
      <c r="L10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0.830      -4,917</v>
      </c>
      <c r="M102" s="4">
        <f t="array" aca="1" ref="M102" ca="1">EXP(INDEX(LINEST(LN(Table13467[Price]),Table13467[Age]),1,2))*EXP(INDEX(LINEST(LN(Table13467[Price]),Table13467[Age]),1,1)*Table13467[[#This Row],[Age]])/Table13467[[#This Row],[Price]]</f>
        <v>0.89935395909425531</v>
      </c>
      <c r="N102" s="4">
        <f ca="1">Table13467[[#This Row],[Column1]]*VALUE(SUBSTITUTE(LEFT(Table13467[[#This Row],[normal price/real milage]],3),",",""))</f>
        <v>0.71948316727540429</v>
      </c>
      <c r="O102" s="4"/>
    </row>
    <row r="103" spans="1:15" x14ac:dyDescent="0.25">
      <c r="A103" s="1">
        <v>45081</v>
      </c>
      <c r="B103">
        <v>30</v>
      </c>
      <c r="C103" s="5">
        <v>12995</v>
      </c>
      <c r="D103">
        <v>2015</v>
      </c>
      <c r="E103" t="s">
        <v>110</v>
      </c>
      <c r="F103" t="s">
        <v>116</v>
      </c>
      <c r="G103">
        <v>245000</v>
      </c>
      <c r="H103" s="4">
        <f>Table13467[[#This Row],[Price]]/Table13467[[#This Row],[Mileage]]</f>
        <v>5.3040816326530613E-2</v>
      </c>
      <c r="I103" s="3">
        <f ca="1">Table13467[[#This Row],[Price]]/Table13467[[#This Row],[Age]]</f>
        <v>1624.375</v>
      </c>
      <c r="J103" s="3">
        <f ca="1">Table13467[[#This Row],[Price/age]]/Table13467[[#This Row],[price/mileage]]</f>
        <v>30625</v>
      </c>
      <c r="K103">
        <f ca="1">IF(YEAR(TODAY())=Table13467[[#This Row],[year]],0.8,YEAR(TODAY())-Table13467[[#This Row],[year]])</f>
        <v>8</v>
      </c>
      <c r="L10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0.583      -5,417</v>
      </c>
      <c r="M103" s="4">
        <f t="array" aca="1" ref="M103" ca="1">EXP(INDEX(LINEST(LN(Table13467[Price]),Table13467[Age]),1,2))*EXP(INDEX(LINEST(LN(Table13467[Price]),Table13467[Age]),1,1)*Table13467[[#This Row],[Age]])/Table13467[[#This Row],[Price]]</f>
        <v>1.4089142764413916</v>
      </c>
      <c r="N103" s="4">
        <f ca="1">Table13467[[#This Row],[Column1]]*VALUE(SUBSTITUTE(LEFT(Table13467[[#This Row],[normal price/real milage]],3),",",""))</f>
        <v>0.70445713822069578</v>
      </c>
      <c r="O103" s="4"/>
    </row>
    <row r="104" spans="1:15" x14ac:dyDescent="0.25">
      <c r="A104" s="1">
        <v>45081</v>
      </c>
      <c r="B104">
        <v>37</v>
      </c>
      <c r="C104" s="5">
        <v>26500</v>
      </c>
      <c r="D104">
        <v>2017</v>
      </c>
      <c r="E104" t="s">
        <v>121</v>
      </c>
      <c r="F104" t="s">
        <v>116</v>
      </c>
      <c r="G104">
        <v>128000</v>
      </c>
      <c r="H104" s="4">
        <f>Table13467[[#This Row],[Price]]/Table13467[[#This Row],[Mileage]]</f>
        <v>0.20703125</v>
      </c>
      <c r="I104" s="3">
        <f ca="1">Table13467[[#This Row],[Price]]/Table13467[[#This Row],[Age]]</f>
        <v>4416.666666666667</v>
      </c>
      <c r="J104" s="3">
        <f ca="1">Table13467[[#This Row],[Price/age]]/Table13467[[#This Row],[price/mileage]]</f>
        <v>21333.333333333336</v>
      </c>
      <c r="K104">
        <f ca="1">IF(YEAR(TODAY())=Table13467[[#This Row],[year]],0.8,YEAR(TODAY())-Table13467[[#This Row],[year]])</f>
        <v>6</v>
      </c>
      <c r="L10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0.847      -4,067</v>
      </c>
      <c r="M104" s="4">
        <f t="array" aca="1" ref="M104" ca="1">EXP(INDEX(LINEST(LN(Table13467[Price]),Table13467[Age]),1,2))*EXP(INDEX(LINEST(LN(Table13467[Price]),Table13467[Age]),1,1)*Table13467[[#This Row],[Age]])/Table13467[[#This Row],[Price]]</f>
        <v>0.87470211460024205</v>
      </c>
      <c r="N104" s="4">
        <f ca="1">Table13467[[#This Row],[Column1]]*VALUE(SUBSTITUTE(LEFT(Table13467[[#This Row],[normal price/real milage]],3),",",""))</f>
        <v>0.69976169168019364</v>
      </c>
      <c r="O104" s="4"/>
    </row>
    <row r="105" spans="1:15" x14ac:dyDescent="0.25">
      <c r="A105" s="1">
        <v>45081</v>
      </c>
      <c r="B105">
        <v>75</v>
      </c>
      <c r="C105" s="5">
        <v>26995</v>
      </c>
      <c r="D105">
        <v>2017</v>
      </c>
      <c r="E105" t="s">
        <v>121</v>
      </c>
      <c r="F105" t="s">
        <v>116</v>
      </c>
      <c r="G105">
        <v>127000</v>
      </c>
      <c r="H105" s="4">
        <f>Table13467[[#This Row],[Price]]/Table13467[[#This Row],[Mileage]]</f>
        <v>0.21255905511811024</v>
      </c>
      <c r="I105" s="3">
        <f ca="1">Table13467[[#This Row],[Price]]/Table13467[[#This Row],[Age]]</f>
        <v>4499.166666666667</v>
      </c>
      <c r="J105" s="3">
        <f ca="1">Table13467[[#This Row],[Price/age]]/Table13467[[#This Row],[price/mileage]]</f>
        <v>21166.666666666668</v>
      </c>
      <c r="K105">
        <f ca="1">IF(YEAR(TODAY())=Table13467[[#This Row],[year]],0.8,YEAR(TODAY())-Table13467[[#This Row],[year]])</f>
        <v>6</v>
      </c>
      <c r="L10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0.836      -4,435</v>
      </c>
      <c r="M105" s="4">
        <f t="array" aca="1" ref="M105" ca="1">EXP(INDEX(LINEST(LN(Table13467[Price]),Table13467[Age]),1,2))*EXP(INDEX(LINEST(LN(Table13467[Price]),Table13467[Age]),1,1)*Table13467[[#This Row],[Age]])/Table13467[[#This Row],[Price]]</f>
        <v>0.8586629389481909</v>
      </c>
      <c r="N105" s="4">
        <f ca="1">Table13467[[#This Row],[Column1]]*VALUE(SUBSTITUTE(LEFT(Table13467[[#This Row],[normal price/real milage]],3),",",""))</f>
        <v>0.68693035115855272</v>
      </c>
      <c r="O105" s="4"/>
    </row>
    <row r="106" spans="1:15" x14ac:dyDescent="0.25">
      <c r="A106" s="1">
        <v>45081</v>
      </c>
      <c r="B106">
        <v>112</v>
      </c>
      <c r="C106" s="5">
        <v>26999</v>
      </c>
      <c r="D106">
        <v>2018</v>
      </c>
      <c r="E106" t="s">
        <v>110</v>
      </c>
      <c r="F106" t="s">
        <v>128</v>
      </c>
      <c r="G106">
        <v>135000</v>
      </c>
      <c r="H106" s="4">
        <f>Table13467[[#This Row],[Price]]/Table13467[[#This Row],[Mileage]]</f>
        <v>0.19999259259259258</v>
      </c>
      <c r="I106" s="3">
        <f ca="1">Table13467[[#This Row],[Price]]/Table13467[[#This Row],[Age]]</f>
        <v>5399.8</v>
      </c>
      <c r="J106" s="3">
        <f ca="1">Table13467[[#This Row],[Price/age]]/Table13467[[#This Row],[price/mileage]]</f>
        <v>27000.000000000004</v>
      </c>
      <c r="K106">
        <f ca="1">IF(YEAR(TODAY())=Table13467[[#This Row],[year]],0.8,YEAR(TODAY())-Table13467[[#This Row],[year]])</f>
        <v>5</v>
      </c>
      <c r="L10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0.798      -5,455</v>
      </c>
      <c r="M106" s="4">
        <f t="array" aca="1" ref="M106" ca="1">EXP(INDEX(LINEST(LN(Table13467[Price]),Table13467[Age]),1,2))*EXP(INDEX(LINEST(LN(Table13467[Price]),Table13467[Age]),1,1)*Table13467[[#This Row],[Age]])/Table13467[[#This Row],[Price]]</f>
        <v>0.96600854897342137</v>
      </c>
      <c r="N106" s="4">
        <f ca="1">Table13467[[#This Row],[Column1]]*VALUE(SUBSTITUTE(LEFT(Table13467[[#This Row],[normal price/real milage]],3),",",""))</f>
        <v>0.67620598428139489</v>
      </c>
      <c r="O106" s="4"/>
    </row>
    <row r="107" spans="1:15" x14ac:dyDescent="0.25">
      <c r="A107" s="1">
        <v>45081</v>
      </c>
      <c r="B107">
        <v>42</v>
      </c>
      <c r="C107" s="5">
        <v>34990</v>
      </c>
      <c r="D107">
        <v>2019</v>
      </c>
      <c r="E107" t="s">
        <v>121</v>
      </c>
      <c r="F107" t="s">
        <v>128</v>
      </c>
      <c r="G107">
        <v>69000</v>
      </c>
      <c r="H107" s="4">
        <f>Table13467[[#This Row],[Price]]/Table13467[[#This Row],[Mileage]]</f>
        <v>0.50710144927536227</v>
      </c>
      <c r="I107" s="3">
        <f ca="1">Table13467[[#This Row],[Price]]/Table13467[[#This Row],[Age]]</f>
        <v>8747.5</v>
      </c>
      <c r="J107" s="3">
        <f ca="1">Table13467[[#This Row],[Price/age]]/Table13467[[#This Row],[price/mileage]]</f>
        <v>17250</v>
      </c>
      <c r="K107">
        <f ca="1">IF(YEAR(TODAY())=Table13467[[#This Row],[year]],0.8,YEAR(TODAY())-Table13467[[#This Row],[year]])</f>
        <v>4</v>
      </c>
      <c r="L10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0.855      -5,066</v>
      </c>
      <c r="M107" s="4">
        <f t="array" aca="1" ref="M107" ca="1">EXP(INDEX(LINEST(LN(Table13467[Price]),Table13467[Age]),1,2))*EXP(INDEX(LINEST(LN(Table13467[Price]),Table13467[Age]),1,1)*Table13467[[#This Row],[Age]])/Table13467[[#This Row],[Price]]</f>
        <v>0.83870127763258628</v>
      </c>
      <c r="N107" s="4">
        <f ca="1">Table13467[[#This Row],[Column1]]*VALUE(SUBSTITUTE(LEFT(Table13467[[#This Row],[normal price/real milage]],3),",",""))</f>
        <v>0.67096102210606912</v>
      </c>
      <c r="O107" s="4"/>
    </row>
    <row r="108" spans="1:15" x14ac:dyDescent="0.25">
      <c r="A108" s="1">
        <v>45081</v>
      </c>
      <c r="B108">
        <v>84</v>
      </c>
      <c r="C108" s="5">
        <v>27989</v>
      </c>
      <c r="D108">
        <v>2017</v>
      </c>
      <c r="E108" t="s">
        <v>110</v>
      </c>
      <c r="F108" t="s">
        <v>116</v>
      </c>
      <c r="G108">
        <v>107000</v>
      </c>
      <c r="H108" s="4">
        <f>Table13467[[#This Row],[Price]]/Table13467[[#This Row],[Mileage]]</f>
        <v>0.26157943925233645</v>
      </c>
      <c r="I108" s="3">
        <f ca="1">Table13467[[#This Row],[Price]]/Table13467[[#This Row],[Age]]</f>
        <v>4664.833333333333</v>
      </c>
      <c r="J108" s="3">
        <f ca="1">Table13467[[#This Row],[Price/age]]/Table13467[[#This Row],[price/mileage]]</f>
        <v>17833.333333333332</v>
      </c>
      <c r="K108">
        <f ca="1">IF(YEAR(TODAY())=Table13467[[#This Row],[year]],0.8,YEAR(TODAY())-Table13467[[#This Row],[year]])</f>
        <v>6</v>
      </c>
      <c r="L10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0.897      -2,890</v>
      </c>
      <c r="M108" s="4">
        <f t="array" aca="1" ref="M108" ca="1">EXP(INDEX(LINEST(LN(Table13467[Price]),Table13467[Age]),1,2))*EXP(INDEX(LINEST(LN(Table13467[Price]),Table13467[Age]),1,1)*Table13467[[#This Row],[Age]])/Table13467[[#This Row],[Price]]</f>
        <v>0.82816842462776141</v>
      </c>
      <c r="N108" s="4">
        <f ca="1">Table13467[[#This Row],[Column1]]*VALUE(SUBSTITUTE(LEFT(Table13467[[#This Row],[normal price/real milage]],3),",",""))</f>
        <v>0.66253473970220922</v>
      </c>
      <c r="O108" s="4"/>
    </row>
    <row r="109" spans="1:15" x14ac:dyDescent="0.25">
      <c r="A109" s="1">
        <v>45081</v>
      </c>
      <c r="B109">
        <v>148</v>
      </c>
      <c r="C109" s="5">
        <v>39950</v>
      </c>
      <c r="D109">
        <v>2021</v>
      </c>
      <c r="E109" t="s">
        <v>110</v>
      </c>
      <c r="F109" t="s">
        <v>135</v>
      </c>
      <c r="G109">
        <v>76000</v>
      </c>
      <c r="H109" s="4">
        <f>Table13467[[#This Row],[Price]]/Table13467[[#This Row],[Mileage]]</f>
        <v>0.5256578947368421</v>
      </c>
      <c r="I109" s="3">
        <f ca="1">Table13467[[#This Row],[Price]]/Table13467[[#This Row],[Age]]</f>
        <v>19975</v>
      </c>
      <c r="J109" s="3">
        <f ca="1">Table13467[[#This Row],[Price/age]]/Table13467[[#This Row],[price/mileage]]</f>
        <v>38000</v>
      </c>
      <c r="K109">
        <f ca="1">IF(YEAR(TODAY())=Table13467[[#This Row],[year]],0.8,YEAR(TODAY())-Table13467[[#This Row],[year]])</f>
        <v>2</v>
      </c>
      <c r="L10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0.727      -10,915</v>
      </c>
      <c r="M109" s="4">
        <f t="array" aca="1" ref="M109" ca="1">EXP(INDEX(LINEST(LN(Table13467[Price]),Table13467[Age]),1,2))*EXP(INDEX(LINEST(LN(Table13467[Price]),Table13467[Age]),1,1)*Table13467[[#This Row],[Age]])/Table13467[[#This Row],[Price]]</f>
        <v>0.92999295820204719</v>
      </c>
      <c r="N109" s="4">
        <f ca="1">Table13467[[#This Row],[Column1]]*VALUE(SUBSTITUTE(LEFT(Table13467[[#This Row],[normal price/real milage]],3),",",""))</f>
        <v>0.65099507074143304</v>
      </c>
      <c r="O109" s="4"/>
    </row>
    <row r="110" spans="1:15" x14ac:dyDescent="0.25">
      <c r="A110" s="1">
        <v>45081</v>
      </c>
      <c r="B110">
        <v>22</v>
      </c>
      <c r="C110" s="5">
        <v>44995</v>
      </c>
      <c r="D110">
        <v>2022</v>
      </c>
      <c r="E110" t="s">
        <v>124</v>
      </c>
      <c r="F110" t="s">
        <v>116</v>
      </c>
      <c r="G110">
        <v>28000</v>
      </c>
      <c r="H110" s="4">
        <f>Table13467[[#This Row],[Price]]/Table13467[[#This Row],[Mileage]]</f>
        <v>1.6069642857142856</v>
      </c>
      <c r="I110" s="3">
        <f ca="1">Table13467[[#This Row],[Price]]/Table13467[[#This Row],[Age]]</f>
        <v>44995</v>
      </c>
      <c r="J110" s="3">
        <f ca="1">Table13467[[#This Row],[Price/age]]/Table13467[[#This Row],[price/mileage]]</f>
        <v>28000</v>
      </c>
      <c r="K110">
        <f ca="1">IF(YEAR(TODAY())=Table13467[[#This Row],[year]],0.8,YEAR(TODAY())-Table13467[[#This Row],[year]])</f>
        <v>1</v>
      </c>
      <c r="L11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0.781      -9,866</v>
      </c>
      <c r="M110" s="4">
        <f t="array" aca="1" ref="M110" ca="1">EXP(INDEX(LINEST(LN(Table13467[Price]),Table13467[Age]),1,2))*EXP(INDEX(LINEST(LN(Table13467[Price]),Table13467[Age]),1,1)*Table13467[[#This Row],[Age]])/Table13467[[#This Row],[Price]]</f>
        <v>0.92908358273044989</v>
      </c>
      <c r="N110" s="4">
        <f ca="1">Table13467[[#This Row],[Column1]]*VALUE(SUBSTITUTE(LEFT(Table13467[[#This Row],[normal price/real milage]],3),",",""))</f>
        <v>0.65035850791131489</v>
      </c>
      <c r="O110" s="4"/>
    </row>
    <row r="111" spans="1:15" x14ac:dyDescent="0.25">
      <c r="A111" s="1">
        <v>45081</v>
      </c>
      <c r="B111">
        <v>68</v>
      </c>
      <c r="C111" s="5">
        <v>24995</v>
      </c>
      <c r="D111">
        <v>2017</v>
      </c>
      <c r="E111" t="s">
        <v>137</v>
      </c>
      <c r="F111" t="s">
        <v>138</v>
      </c>
      <c r="G111">
        <v>152000</v>
      </c>
      <c r="H111" s="4">
        <f>Table13467[[#This Row],[Price]]/Table13467[[#This Row],[Mileage]]</f>
        <v>0.16444078947368421</v>
      </c>
      <c r="I111" s="3">
        <f ca="1">Table13467[[#This Row],[Price]]/Table13467[[#This Row],[Age]]</f>
        <v>4165.833333333333</v>
      </c>
      <c r="J111" s="3">
        <f ca="1">Table13467[[#This Row],[Price/age]]/Table13467[[#This Row],[price/mileage]]</f>
        <v>25333.333333333332</v>
      </c>
      <c r="K111">
        <f ca="1">IF(YEAR(TODAY())=Table13467[[#This Row],[year]],0.8,YEAR(TODAY())-Table13467[[#This Row],[year]])</f>
        <v>6</v>
      </c>
      <c r="L11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0.776      -5,609</v>
      </c>
      <c r="M111" s="4">
        <f t="array" aca="1" ref="M111" ca="1">EXP(INDEX(LINEST(LN(Table13467[Price]),Table13467[Age]),1,2))*EXP(INDEX(LINEST(LN(Table13467[Price]),Table13467[Age]),1,1)*Table13467[[#This Row],[Age]])/Table13467[[#This Row],[Price]]</f>
        <v>0.92736971541934043</v>
      </c>
      <c r="N111" s="4">
        <f ca="1">Table13467[[#This Row],[Column1]]*VALUE(SUBSTITUTE(LEFT(Table13467[[#This Row],[normal price/real milage]],3),",",""))</f>
        <v>0.64915880079353827</v>
      </c>
      <c r="O111" s="4"/>
    </row>
    <row r="112" spans="1:15" x14ac:dyDescent="0.25">
      <c r="A112" s="1">
        <v>45081</v>
      </c>
      <c r="B112">
        <v>111</v>
      </c>
      <c r="C112" s="5">
        <v>25500</v>
      </c>
      <c r="D112">
        <v>2016</v>
      </c>
      <c r="E112" t="s">
        <v>110</v>
      </c>
      <c r="F112" t="s">
        <v>144</v>
      </c>
      <c r="G112">
        <v>137000</v>
      </c>
      <c r="H112" s="4">
        <f>Table13467[[#This Row],[Price]]/Table13467[[#This Row],[Mileage]]</f>
        <v>0.18613138686131386</v>
      </c>
      <c r="I112" s="3">
        <f ca="1">Table13467[[#This Row],[Price]]/Table13467[[#This Row],[Age]]</f>
        <v>3642.8571428571427</v>
      </c>
      <c r="J112" s="3">
        <f ca="1">Table13467[[#This Row],[Price/age]]/Table13467[[#This Row],[price/mileage]]</f>
        <v>19571.428571428572</v>
      </c>
      <c r="K112">
        <f ca="1">IF(YEAR(TODAY())=Table13467[[#This Row],[year]],0.8,YEAR(TODAY())-Table13467[[#This Row],[year]])</f>
        <v>7</v>
      </c>
      <c r="L11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0.835      -4,210</v>
      </c>
      <c r="M112" s="4">
        <f t="array" aca="1" ref="M112" ca="1">EXP(INDEX(LINEST(LN(Table13467[Price]),Table13467[Age]),1,2))*EXP(INDEX(LINEST(LN(Table13467[Price]),Table13467[Age]),1,1)*Table13467[[#This Row],[Age]])/Table13467[[#This Row],[Price]]</f>
        <v>0.80787333076124235</v>
      </c>
      <c r="N112" s="4">
        <f ca="1">Table13467[[#This Row],[Column1]]*VALUE(SUBSTITUTE(LEFT(Table13467[[#This Row],[normal price/real milage]],3),",",""))</f>
        <v>0.64629866460899388</v>
      </c>
      <c r="O112" s="4"/>
    </row>
    <row r="113" spans="1:15" x14ac:dyDescent="0.25">
      <c r="A113" s="1">
        <v>45081</v>
      </c>
      <c r="B113">
        <v>145</v>
      </c>
      <c r="C113" s="5">
        <v>33000</v>
      </c>
      <c r="D113">
        <v>2017</v>
      </c>
      <c r="E113" t="s">
        <v>110</v>
      </c>
      <c r="F113" t="s">
        <v>128</v>
      </c>
      <c r="G113">
        <v>53000</v>
      </c>
      <c r="H113" s="4">
        <f>Table13467[[#This Row],[Price]]/Table13467[[#This Row],[Mileage]]</f>
        <v>0.62264150943396224</v>
      </c>
      <c r="I113" s="3">
        <f ca="1">Table13467[[#This Row],[Price]]/Table13467[[#This Row],[Age]]</f>
        <v>5500</v>
      </c>
      <c r="J113" s="3">
        <f ca="1">Table13467[[#This Row],[Price/age]]/Table13467[[#This Row],[price/mileage]]</f>
        <v>8833.3333333333339</v>
      </c>
      <c r="K113">
        <f ca="1">IF(YEAR(TODAY())=Table13467[[#This Row],[year]],0.8,YEAR(TODAY())-Table13467[[#This Row],[year]])</f>
        <v>6</v>
      </c>
      <c r="L11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0.968      -1,045</v>
      </c>
      <c r="M113" s="4">
        <f t="array" aca="1" ref="M113" ca="1">EXP(INDEX(LINEST(LN(Table13467[Price]),Table13467[Age]),1,2))*EXP(INDEX(LINEST(LN(Table13467[Price]),Table13467[Age]),1,1)*Table13467[[#This Row],[Age]])/Table13467[[#This Row],[Price]]</f>
        <v>0.70241230414867928</v>
      </c>
      <c r="N113" s="4">
        <f ca="1">Table13467[[#This Row],[Column1]]*VALUE(SUBSTITUTE(LEFT(Table13467[[#This Row],[normal price/real milage]],3),",",""))</f>
        <v>0.63217107373381132</v>
      </c>
      <c r="O113" s="4"/>
    </row>
    <row r="114" spans="1:15" x14ac:dyDescent="0.25">
      <c r="A114" s="1">
        <v>45081</v>
      </c>
      <c r="B114">
        <v>64</v>
      </c>
      <c r="C114" s="5">
        <v>29500</v>
      </c>
      <c r="D114">
        <v>2017</v>
      </c>
      <c r="E114" t="s">
        <v>110</v>
      </c>
      <c r="F114" t="s">
        <v>116</v>
      </c>
      <c r="G114">
        <v>112000</v>
      </c>
      <c r="H114" s="4">
        <f>Table13467[[#This Row],[Price]]/Table13467[[#This Row],[Mileage]]</f>
        <v>0.26339285714285715</v>
      </c>
      <c r="I114" s="3">
        <f ca="1">Table13467[[#This Row],[Price]]/Table13467[[#This Row],[Age]]</f>
        <v>4916.666666666667</v>
      </c>
      <c r="J114" s="3">
        <f ca="1">Table13467[[#This Row],[Price/age]]/Table13467[[#This Row],[price/mileage]]</f>
        <v>18666.666666666668</v>
      </c>
      <c r="K114">
        <f ca="1">IF(YEAR(TODAY())=Table13467[[#This Row],[year]],0.8,YEAR(TODAY())-Table13467[[#This Row],[year]])</f>
        <v>6</v>
      </c>
      <c r="L11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0.829      -5,036</v>
      </c>
      <c r="M114" s="4">
        <f t="array" aca="1" ref="M114" ca="1">EXP(INDEX(LINEST(LN(Table13467[Price]),Table13467[Age]),1,2))*EXP(INDEX(LINEST(LN(Table13467[Price]),Table13467[Age]),1,1)*Table13467[[#This Row],[Age]])/Table13467[[#This Row],[Price]]</f>
        <v>0.78574935718326833</v>
      </c>
      <c r="N114" s="4">
        <f ca="1">Table13467[[#This Row],[Column1]]*VALUE(SUBSTITUTE(LEFT(Table13467[[#This Row],[normal price/real milage]],3),",",""))</f>
        <v>0.62859948574661473</v>
      </c>
      <c r="O114" s="4"/>
    </row>
    <row r="115" spans="1:15" x14ac:dyDescent="0.25">
      <c r="A115" s="1">
        <v>45081</v>
      </c>
      <c r="B115">
        <v>47</v>
      </c>
      <c r="C115" s="5">
        <v>12999</v>
      </c>
      <c r="D115">
        <v>2014</v>
      </c>
      <c r="E115" t="s">
        <v>129</v>
      </c>
      <c r="F115" t="s">
        <v>112</v>
      </c>
      <c r="G115">
        <v>250000</v>
      </c>
      <c r="H115" s="4">
        <f>Table13467[[#This Row],[Price]]/Table13467[[#This Row],[Mileage]]</f>
        <v>5.1996000000000001E-2</v>
      </c>
      <c r="I115" s="3">
        <f ca="1">Table13467[[#This Row],[Price]]/Table13467[[#This Row],[Age]]</f>
        <v>1444.3333333333333</v>
      </c>
      <c r="J115" s="3">
        <f ca="1">Table13467[[#This Row],[Price/age]]/Table13467[[#This Row],[price/mileage]]</f>
        <v>27777.777777777777</v>
      </c>
      <c r="K115">
        <f ca="1">IF(YEAR(TODAY())=Table13467[[#This Row],[year]],0.8,YEAR(TODAY())-Table13467[[#This Row],[year]])</f>
        <v>9</v>
      </c>
      <c r="L11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0.534      -6,056</v>
      </c>
      <c r="M115" s="4">
        <f t="array" aca="1" ref="M115" ca="1">EXP(INDEX(LINEST(LN(Table13467[Price]),Table13467[Age]),1,2))*EXP(INDEX(LINEST(LN(Table13467[Price]),Table13467[Age]),1,1)*Table13467[[#This Row],[Age]])/Table13467[[#This Row],[Price]]</f>
        <v>1.2517808736836138</v>
      </c>
      <c r="N115" s="4">
        <f ca="1">Table13467[[#This Row],[Column1]]*VALUE(SUBSTITUTE(LEFT(Table13467[[#This Row],[normal price/real milage]],3),",",""))</f>
        <v>0.6258904368418069</v>
      </c>
      <c r="O115" s="4"/>
    </row>
    <row r="116" spans="1:15" x14ac:dyDescent="0.25">
      <c r="A116" s="1">
        <v>45081</v>
      </c>
      <c r="B116">
        <v>118</v>
      </c>
      <c r="C116" s="5">
        <v>29995</v>
      </c>
      <c r="D116">
        <v>2016</v>
      </c>
      <c r="E116" t="s">
        <v>110</v>
      </c>
      <c r="F116" t="s">
        <v>147</v>
      </c>
      <c r="G116">
        <v>79000</v>
      </c>
      <c r="H116" s="4">
        <f>Table13467[[#This Row],[Price]]/Table13467[[#This Row],[Mileage]]</f>
        <v>0.37968354430379747</v>
      </c>
      <c r="I116" s="3">
        <f ca="1">Table13467[[#This Row],[Price]]/Table13467[[#This Row],[Age]]</f>
        <v>4285</v>
      </c>
      <c r="J116" s="3">
        <f ca="1">Table13467[[#This Row],[Price/age]]/Table13467[[#This Row],[price/mileage]]</f>
        <v>11285.714285714286</v>
      </c>
      <c r="K116">
        <f ca="1">IF(YEAR(TODAY())=Table13467[[#This Row],[year]],0.8,YEAR(TODAY())-Table13467[[#This Row],[year]])</f>
        <v>7</v>
      </c>
      <c r="L11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0.955      -1,341</v>
      </c>
      <c r="M116" s="4">
        <f t="array" aca="1" ref="M116" ca="1">EXP(INDEX(LINEST(LN(Table13467[Price]),Table13467[Age]),1,2))*EXP(INDEX(LINEST(LN(Table13467[Price]),Table13467[Age]),1,1)*Table13467[[#This Row],[Age]])/Table13467[[#This Row],[Price]]</f>
        <v>0.68680679894688046</v>
      </c>
      <c r="N116" s="4">
        <f ca="1">Table13467[[#This Row],[Column1]]*VALUE(SUBSTITUTE(LEFT(Table13467[[#This Row],[normal price/real milage]],3),",",""))</f>
        <v>0.61812611905219239</v>
      </c>
      <c r="O116" s="4"/>
    </row>
    <row r="117" spans="1:15" x14ac:dyDescent="0.25">
      <c r="A117" s="1">
        <v>45081</v>
      </c>
      <c r="B117">
        <v>43</v>
      </c>
      <c r="C117" s="5">
        <v>38500</v>
      </c>
      <c r="D117">
        <v>2020</v>
      </c>
      <c r="E117" t="s">
        <v>110</v>
      </c>
      <c r="F117" t="s">
        <v>127</v>
      </c>
      <c r="G117">
        <v>64000</v>
      </c>
      <c r="H117" s="4">
        <f>Table13467[[#This Row],[Price]]/Table13467[[#This Row],[Mileage]]</f>
        <v>0.6015625</v>
      </c>
      <c r="I117" s="3">
        <f ca="1">Table13467[[#This Row],[Price]]/Table13467[[#This Row],[Age]]</f>
        <v>12833.333333333334</v>
      </c>
      <c r="J117" s="3">
        <f ca="1">Table13467[[#This Row],[Price/age]]/Table13467[[#This Row],[price/mileage]]</f>
        <v>21333.333333333336</v>
      </c>
      <c r="K117">
        <f ca="1">IF(YEAR(TODAY())=Table13467[[#This Row],[year]],0.8,YEAR(TODAY())-Table13467[[#This Row],[year]])</f>
        <v>3</v>
      </c>
      <c r="L11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0.794      -7,941</v>
      </c>
      <c r="M117" s="4">
        <f t="array" aca="1" ref="M117" ca="1">EXP(INDEX(LINEST(LN(Table13467[Price]),Table13467[Age]),1,2))*EXP(INDEX(LINEST(LN(Table13467[Price]),Table13467[Age]),1,1)*Table13467[[#This Row],[Age]])/Table13467[[#This Row],[Price]]</f>
        <v>0.85765597180496034</v>
      </c>
      <c r="N117" s="4">
        <f ca="1">Table13467[[#This Row],[Column1]]*VALUE(SUBSTITUTE(LEFT(Table13467[[#This Row],[normal price/real milage]],3),",",""))</f>
        <v>0.60035918026347224</v>
      </c>
      <c r="O117" s="4"/>
    </row>
    <row r="118" spans="1:15" x14ac:dyDescent="0.25">
      <c r="A118" s="1">
        <v>45081</v>
      </c>
      <c r="B118">
        <v>87</v>
      </c>
      <c r="C118" s="5">
        <v>30550</v>
      </c>
      <c r="D118">
        <v>2018</v>
      </c>
      <c r="E118" t="s">
        <v>110</v>
      </c>
      <c r="F118" t="s">
        <v>123</v>
      </c>
      <c r="G118">
        <v>128000</v>
      </c>
      <c r="H118" s="4">
        <f>Table13467[[#This Row],[Price]]/Table13467[[#This Row],[Mileage]]</f>
        <v>0.23867187500000001</v>
      </c>
      <c r="I118" s="3">
        <f ca="1">Table13467[[#This Row],[Price]]/Table13467[[#This Row],[Age]]</f>
        <v>6110</v>
      </c>
      <c r="J118" s="3">
        <f ca="1">Table13467[[#This Row],[Price/age]]/Table13467[[#This Row],[price/mileage]]</f>
        <v>25600</v>
      </c>
      <c r="K118">
        <f ca="1">IF(YEAR(TODAY())=Table13467[[#This Row],[year]],0.8,YEAR(TODAY())-Table13467[[#This Row],[year]])</f>
        <v>5</v>
      </c>
      <c r="L11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0.734      -8,117</v>
      </c>
      <c r="M118" s="4">
        <f t="array" aca="1" ref="M118" ca="1">EXP(INDEX(LINEST(LN(Table13467[Price]),Table13467[Age]),1,2))*EXP(INDEX(LINEST(LN(Table13467[Price]),Table13467[Age]),1,1)*Table13467[[#This Row],[Age]])/Table13467[[#This Row],[Price]]</f>
        <v>0.85372388915657627</v>
      </c>
      <c r="N118" s="4">
        <f ca="1">Table13467[[#This Row],[Column1]]*VALUE(SUBSTITUTE(LEFT(Table13467[[#This Row],[normal price/real milage]],3),",",""))</f>
        <v>0.59760672240960333</v>
      </c>
      <c r="O118" s="4"/>
    </row>
    <row r="119" spans="1:15" x14ac:dyDescent="0.25">
      <c r="A119" s="1">
        <v>45081</v>
      </c>
      <c r="B119">
        <v>80</v>
      </c>
      <c r="C119" s="5">
        <v>35489</v>
      </c>
      <c r="D119">
        <v>2018</v>
      </c>
      <c r="E119" t="s">
        <v>110</v>
      </c>
      <c r="F119" t="s">
        <v>116</v>
      </c>
      <c r="G119">
        <v>69000</v>
      </c>
      <c r="H119" s="4">
        <f>Table13467[[#This Row],[Price]]/Table13467[[#This Row],[Mileage]]</f>
        <v>0.51433333333333331</v>
      </c>
      <c r="I119" s="3">
        <f ca="1">Table13467[[#This Row],[Price]]/Table13467[[#This Row],[Age]]</f>
        <v>7097.8</v>
      </c>
      <c r="J119" s="3">
        <f ca="1">Table13467[[#This Row],[Price/age]]/Table13467[[#This Row],[price/mileage]]</f>
        <v>13800.000000000002</v>
      </c>
      <c r="K119">
        <f ca="1">IF(YEAR(TODAY())=Table13467[[#This Row],[year]],0.8,YEAR(TODAY())-Table13467[[#This Row],[year]])</f>
        <v>5</v>
      </c>
      <c r="L11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0.843      -5,565</v>
      </c>
      <c r="M119" s="4">
        <f t="array" aca="1" ref="M119" ca="1">EXP(INDEX(LINEST(LN(Table13467[Price]),Table13467[Age]),1,2))*EXP(INDEX(LINEST(LN(Table13467[Price]),Table13467[Age]),1,1)*Table13467[[#This Row],[Age]])/Table13467[[#This Row],[Price]]</f>
        <v>0.73491123485399434</v>
      </c>
      <c r="N119" s="4">
        <f ca="1">Table13467[[#This Row],[Column1]]*VALUE(SUBSTITUTE(LEFT(Table13467[[#This Row],[normal price/real milage]],3),",",""))</f>
        <v>0.58792898788319548</v>
      </c>
      <c r="O119" s="4"/>
    </row>
    <row r="120" spans="1:15" x14ac:dyDescent="0.25">
      <c r="A120" s="1">
        <v>45081</v>
      </c>
      <c r="B120">
        <v>136</v>
      </c>
      <c r="C120" s="5">
        <v>39690</v>
      </c>
      <c r="D120">
        <v>2020</v>
      </c>
      <c r="E120" t="s">
        <v>110</v>
      </c>
      <c r="F120" t="s">
        <v>130</v>
      </c>
      <c r="G120">
        <v>59000</v>
      </c>
      <c r="H120" s="4">
        <f>Table13467[[#This Row],[Price]]/Table13467[[#This Row],[Mileage]]</f>
        <v>0.67271186440677966</v>
      </c>
      <c r="I120" s="3">
        <f ca="1">Table13467[[#This Row],[Price]]/Table13467[[#This Row],[Age]]</f>
        <v>13230</v>
      </c>
      <c r="J120" s="3">
        <f ca="1">Table13467[[#This Row],[Price/age]]/Table13467[[#This Row],[price/mileage]]</f>
        <v>19666.666666666668</v>
      </c>
      <c r="K120">
        <f ca="1">IF(YEAR(TODAY())=Table13467[[#This Row],[year]],0.8,YEAR(TODAY())-Table13467[[#This Row],[year]])</f>
        <v>3</v>
      </c>
      <c r="L12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0.786      -8,497</v>
      </c>
      <c r="M120" s="4">
        <f t="array" aca="1" ref="M120" ca="1">EXP(INDEX(LINEST(LN(Table13467[Price]),Table13467[Age]),1,2))*EXP(INDEX(LINEST(LN(Table13467[Price]),Table13467[Age]),1,1)*Table13467[[#This Row],[Age]])/Table13467[[#This Row],[Price]]</f>
        <v>0.8319414188584271</v>
      </c>
      <c r="N120" s="4">
        <f ca="1">Table13467[[#This Row],[Column1]]*VALUE(SUBSTITUTE(LEFT(Table13467[[#This Row],[normal price/real milage]],3),",",""))</f>
        <v>0.5823589932008989</v>
      </c>
      <c r="O120" s="4"/>
    </row>
    <row r="121" spans="1:15" x14ac:dyDescent="0.25">
      <c r="A121" s="1">
        <v>45081</v>
      </c>
      <c r="B121">
        <v>91</v>
      </c>
      <c r="C121" s="5">
        <v>40995</v>
      </c>
      <c r="D121">
        <v>2019</v>
      </c>
      <c r="E121" t="s">
        <v>121</v>
      </c>
      <c r="F121" t="s">
        <v>111</v>
      </c>
      <c r="G121">
        <v>39000</v>
      </c>
      <c r="H121" s="4">
        <f>Table13467[[#This Row],[Price]]/Table13467[[#This Row],[Mileage]]</f>
        <v>1.0511538461538461</v>
      </c>
      <c r="I121" s="3">
        <f ca="1">Table13467[[#This Row],[Price]]/Table13467[[#This Row],[Age]]</f>
        <v>10248.75</v>
      </c>
      <c r="J121" s="3">
        <f ca="1">Table13467[[#This Row],[Price/age]]/Table13467[[#This Row],[price/mileage]]</f>
        <v>9750</v>
      </c>
      <c r="K121">
        <f ca="1">IF(YEAR(TODAY())=Table13467[[#This Row],[year]],0.8,YEAR(TODAY())-Table13467[[#This Row],[year]])</f>
        <v>4</v>
      </c>
      <c r="L12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0.823      -7,262</v>
      </c>
      <c r="M121" s="4">
        <f t="array" aca="1" ref="M121" ca="1">EXP(INDEX(LINEST(LN(Table13467[Price]),Table13467[Age]),1,2))*EXP(INDEX(LINEST(LN(Table13467[Price]),Table13467[Age]),1,1)*Table13467[[#This Row],[Age]])/Table13467[[#This Row],[Price]]</f>
        <v>0.7158472424530844</v>
      </c>
      <c r="N121" s="4">
        <f ca="1">Table13467[[#This Row],[Column1]]*VALUE(SUBSTITUTE(LEFT(Table13467[[#This Row],[normal price/real milage]],3),",",""))</f>
        <v>0.57267779396246754</v>
      </c>
      <c r="O121" s="4"/>
    </row>
    <row r="122" spans="1:15" x14ac:dyDescent="0.25">
      <c r="A122" s="1">
        <v>45081</v>
      </c>
      <c r="B122">
        <v>90</v>
      </c>
      <c r="C122" s="5">
        <v>17995</v>
      </c>
      <c r="D122">
        <v>2016</v>
      </c>
      <c r="E122" t="s">
        <v>110</v>
      </c>
      <c r="F122" t="s">
        <v>116</v>
      </c>
      <c r="G122">
        <v>226000</v>
      </c>
      <c r="H122" s="4">
        <f>Table13467[[#This Row],[Price]]/Table13467[[#This Row],[Mileage]]</f>
        <v>7.9623893805309737E-2</v>
      </c>
      <c r="I122" s="3">
        <f ca="1">Table13467[[#This Row],[Price]]/Table13467[[#This Row],[Age]]</f>
        <v>2570.7142857142858</v>
      </c>
      <c r="J122" s="3">
        <f ca="1">Table13467[[#This Row],[Price/age]]/Table13467[[#This Row],[price/mileage]]</f>
        <v>32285.714285714286</v>
      </c>
      <c r="K122">
        <f ca="1">IF(YEAR(TODAY())=Table13467[[#This Row],[year]],0.8,YEAR(TODAY())-Table13467[[#This Row],[year]])</f>
        <v>7</v>
      </c>
      <c r="L12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0.555      -8,005</v>
      </c>
      <c r="M122" s="4">
        <f t="array" aca="1" ref="M122" ca="1">EXP(INDEX(LINEST(LN(Table13467[Price]),Table13467[Age]),1,2))*EXP(INDEX(LINEST(LN(Table13467[Price]),Table13467[Age]),1,1)*Table13467[[#This Row],[Age]])/Table13467[[#This Row],[Price]]</f>
        <v>1.1448052200284347</v>
      </c>
      <c r="N122" s="4">
        <f ca="1">Table13467[[#This Row],[Column1]]*VALUE(SUBSTITUTE(LEFT(Table13467[[#This Row],[normal price/real milage]],3),",",""))</f>
        <v>0.57240261001421733</v>
      </c>
      <c r="O122" s="4"/>
    </row>
    <row r="123" spans="1:15" x14ac:dyDescent="0.25">
      <c r="A123" s="1">
        <v>45081</v>
      </c>
      <c r="B123">
        <v>78</v>
      </c>
      <c r="C123" s="5">
        <v>45884</v>
      </c>
      <c r="D123">
        <v>2021</v>
      </c>
      <c r="E123" t="s">
        <v>110</v>
      </c>
      <c r="F123" t="s">
        <v>116</v>
      </c>
      <c r="G123">
        <v>27000</v>
      </c>
      <c r="H123" s="4">
        <f>Table13467[[#This Row],[Price]]/Table13467[[#This Row],[Mileage]]</f>
        <v>1.6994074074074075</v>
      </c>
      <c r="I123" s="3">
        <f ca="1">Table13467[[#This Row],[Price]]/Table13467[[#This Row],[Age]]</f>
        <v>22942</v>
      </c>
      <c r="J123" s="3">
        <f ca="1">Table13467[[#This Row],[Price/age]]/Table13467[[#This Row],[price/mileage]]</f>
        <v>13500</v>
      </c>
      <c r="K123">
        <f ca="1">IF(YEAR(TODAY())=Table13467[[#This Row],[year]],0.8,YEAR(TODAY())-Table13467[[#This Row],[year]])</f>
        <v>2</v>
      </c>
      <c r="L12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0.768      -10,628</v>
      </c>
      <c r="M123" s="4">
        <f t="array" aca="1" ref="M123" ca="1">EXP(INDEX(LINEST(LN(Table13467[Price]),Table13467[Age]),1,2))*EXP(INDEX(LINEST(LN(Table13467[Price]),Table13467[Age]),1,1)*Table13467[[#This Row],[Age]])/Table13467[[#This Row],[Price]]</f>
        <v>0.80972057100888728</v>
      </c>
      <c r="N123" s="4">
        <f ca="1">Table13467[[#This Row],[Column1]]*VALUE(SUBSTITUTE(LEFT(Table13467[[#This Row],[normal price/real milage]],3),",",""))</f>
        <v>0.5668043997062211</v>
      </c>
      <c r="O123" s="4"/>
    </row>
    <row r="124" spans="1:15" x14ac:dyDescent="0.25">
      <c r="A124" s="1">
        <v>45081</v>
      </c>
      <c r="B124">
        <v>114</v>
      </c>
      <c r="C124" s="5">
        <v>47990</v>
      </c>
      <c r="D124">
        <v>2021</v>
      </c>
      <c r="E124" t="s">
        <v>145</v>
      </c>
      <c r="F124" t="s">
        <v>112</v>
      </c>
      <c r="G124">
        <v>16000</v>
      </c>
      <c r="H124" s="4">
        <f>Table13467[[#This Row],[Price]]/Table13467[[#This Row],[Mileage]]</f>
        <v>2.9993750000000001</v>
      </c>
      <c r="I124" s="3">
        <f ca="1">Table13467[[#This Row],[Price]]/Table13467[[#This Row],[Age]]</f>
        <v>23995</v>
      </c>
      <c r="J124" s="3">
        <f ca="1">Table13467[[#This Row],[Price/age]]/Table13467[[#This Row],[price/mileage]]</f>
        <v>8000</v>
      </c>
      <c r="K124">
        <f ca="1">IF(YEAR(TODAY())=Table13467[[#This Row],[year]],0.8,YEAR(TODAY())-Table13467[[#This Row],[year]])</f>
        <v>2</v>
      </c>
      <c r="L12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0.764      -11,337</v>
      </c>
      <c r="M124" s="4">
        <f t="array" aca="1" ref="M124" ca="1">EXP(INDEX(LINEST(LN(Table13467[Price]),Table13467[Age]),1,2))*EXP(INDEX(LINEST(LN(Table13467[Price]),Table13467[Age]),1,1)*Table13467[[#This Row],[Age]])/Table13467[[#This Row],[Price]]</f>
        <v>0.77418667806150832</v>
      </c>
      <c r="N124" s="4">
        <f ca="1">Table13467[[#This Row],[Column1]]*VALUE(SUBSTITUTE(LEFT(Table13467[[#This Row],[normal price/real milage]],3),",",""))</f>
        <v>0.54193067464305578</v>
      </c>
      <c r="O124" s="4"/>
    </row>
    <row r="125" spans="1:15" x14ac:dyDescent="0.25">
      <c r="A125" s="1">
        <v>45081</v>
      </c>
      <c r="B125">
        <v>113</v>
      </c>
      <c r="C125" s="5">
        <v>44900</v>
      </c>
      <c r="D125">
        <v>2019</v>
      </c>
      <c r="E125" t="s">
        <v>110</v>
      </c>
      <c r="F125" t="s">
        <v>116</v>
      </c>
      <c r="G125">
        <v>19000</v>
      </c>
      <c r="H125" s="4">
        <f>Table13467[[#This Row],[Price]]/Table13467[[#This Row],[Mileage]]</f>
        <v>2.3631578947368421</v>
      </c>
      <c r="I125" s="3">
        <f ca="1">Table13467[[#This Row],[Price]]/Table13467[[#This Row],[Age]]</f>
        <v>11225</v>
      </c>
      <c r="J125" s="3">
        <f ca="1">Table13467[[#This Row],[Price/age]]/Table13467[[#This Row],[price/mileage]]</f>
        <v>4750</v>
      </c>
      <c r="K125">
        <f ca="1">IF(YEAR(TODAY())=Table13467[[#This Row],[year]],0.8,YEAR(TODAY())-Table13467[[#This Row],[year]])</f>
        <v>4</v>
      </c>
      <c r="L12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0.808      -8,628</v>
      </c>
      <c r="M125" s="4">
        <f t="array" aca="1" ref="M125" ca="1">EXP(INDEX(LINEST(LN(Table13467[Price]),Table13467[Age]),1,2))*EXP(INDEX(LINEST(LN(Table13467[Price]),Table13467[Age]),1,1)*Table13467[[#This Row],[Age]])/Table13467[[#This Row],[Price]]</f>
        <v>0.65358925844909121</v>
      </c>
      <c r="N125" s="4">
        <f ca="1">Table13467[[#This Row],[Column1]]*VALUE(SUBSTITUTE(LEFT(Table13467[[#This Row],[normal price/real milage]],3),",",""))</f>
        <v>0.52287140675927302</v>
      </c>
      <c r="O125" s="4"/>
    </row>
    <row r="126" spans="1:15" x14ac:dyDescent="0.25">
      <c r="A126" s="1">
        <v>45081</v>
      </c>
      <c r="B126">
        <v>50</v>
      </c>
      <c r="C126" s="5">
        <v>40990</v>
      </c>
      <c r="D126">
        <v>2019</v>
      </c>
      <c r="E126" t="s">
        <v>110</v>
      </c>
      <c r="F126" t="s">
        <v>111</v>
      </c>
      <c r="G126">
        <v>75000</v>
      </c>
      <c r="H126" s="4">
        <f>Table13467[[#This Row],[Price]]/Table13467[[#This Row],[Mileage]]</f>
        <v>0.54653333333333332</v>
      </c>
      <c r="I126" s="3">
        <f ca="1">Table13467[[#This Row],[Price]]/Table13467[[#This Row],[Age]]</f>
        <v>10247.5</v>
      </c>
      <c r="J126" s="3">
        <f ca="1">Table13467[[#This Row],[Price/age]]/Table13467[[#This Row],[price/mileage]]</f>
        <v>18750</v>
      </c>
      <c r="K126">
        <f ca="1">IF(YEAR(TODAY())=Table13467[[#This Row],[year]],0.8,YEAR(TODAY())-Table13467[[#This Row],[year]])</f>
        <v>4</v>
      </c>
      <c r="L12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0.711      -11,828</v>
      </c>
      <c r="M126" s="4">
        <f t="array" aca="1" ref="M126" ca="1">EXP(INDEX(LINEST(LN(Table13467[Price]),Table13467[Age]),1,2))*EXP(INDEX(LINEST(LN(Table13467[Price]),Table13467[Age]),1,1)*Table13467[[#This Row],[Age]])/Table13467[[#This Row],[Price]]</f>
        <v>0.71593456219478402</v>
      </c>
      <c r="N126" s="4">
        <f ca="1">Table13467[[#This Row],[Column1]]*VALUE(SUBSTITUTE(LEFT(Table13467[[#This Row],[normal price/real milage]],3),",",""))</f>
        <v>0.50115419353634882</v>
      </c>
      <c r="O126" s="4"/>
    </row>
    <row r="127" spans="1:15" x14ac:dyDescent="0.25">
      <c r="A127" s="1">
        <v>45081</v>
      </c>
      <c r="B127">
        <v>132</v>
      </c>
      <c r="C127" s="5">
        <v>39995</v>
      </c>
      <c r="D127">
        <v>2020</v>
      </c>
      <c r="E127" t="s">
        <v>153</v>
      </c>
      <c r="F127" t="s">
        <v>115</v>
      </c>
      <c r="G127">
        <v>88000</v>
      </c>
      <c r="H127" s="4">
        <f>Table13467[[#This Row],[Price]]/Table13467[[#This Row],[Mileage]]</f>
        <v>0.45448863636363634</v>
      </c>
      <c r="I127" s="3">
        <f ca="1">Table13467[[#This Row],[Price]]/Table13467[[#This Row],[Age]]</f>
        <v>13331.666666666666</v>
      </c>
      <c r="J127" s="3">
        <f ca="1">Table13467[[#This Row],[Price/age]]/Table13467[[#This Row],[price/mileage]]</f>
        <v>29333.333333333332</v>
      </c>
      <c r="K127">
        <f ca="1">IF(YEAR(TODAY())=Table13467[[#This Row],[year]],0.8,YEAR(TODAY())-Table13467[[#This Row],[year]])</f>
        <v>3</v>
      </c>
      <c r="L12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0.688      -12,484</v>
      </c>
      <c r="M127" s="4">
        <f t="array" aca="1" ref="M127" ca="1">EXP(INDEX(LINEST(LN(Table13467[Price]),Table13467[Age]),1,2))*EXP(INDEX(LINEST(LN(Table13467[Price]),Table13467[Age]),1,1)*Table13467[[#This Row],[Age]])/Table13467[[#This Row],[Price]]</f>
        <v>0.82559707249633629</v>
      </c>
      <c r="N127" s="4">
        <f ca="1">Table13467[[#This Row],[Column1]]*VALUE(SUBSTITUTE(LEFT(Table13467[[#This Row],[normal price/real milage]],3),",",""))</f>
        <v>0.49535824349780178</v>
      </c>
      <c r="O127" s="4"/>
    </row>
    <row r="128" spans="1:15" x14ac:dyDescent="0.25">
      <c r="A128" s="1">
        <v>45081</v>
      </c>
      <c r="B128">
        <v>103</v>
      </c>
      <c r="C128" s="5">
        <v>17995</v>
      </c>
      <c r="D128">
        <v>2016</v>
      </c>
      <c r="E128" t="s">
        <v>110</v>
      </c>
      <c r="F128" t="s">
        <v>116</v>
      </c>
      <c r="G128">
        <v>236000</v>
      </c>
      <c r="H128" s="4">
        <f>Table13467[[#This Row],[Price]]/Table13467[[#This Row],[Mileage]]</f>
        <v>7.6249999999999998E-2</v>
      </c>
      <c r="I128" s="3">
        <f ca="1">Table13467[[#This Row],[Price]]/Table13467[[#This Row],[Age]]</f>
        <v>2570.7142857142858</v>
      </c>
      <c r="J128" s="3">
        <f ca="1">Table13467[[#This Row],[Price/age]]/Table13467[[#This Row],[price/mileage]]</f>
        <v>33714.285714285717</v>
      </c>
      <c r="K128">
        <f ca="1">IF(YEAR(TODAY())=Table13467[[#This Row],[year]],0.8,YEAR(TODAY())-Table13467[[#This Row],[year]])</f>
        <v>7</v>
      </c>
      <c r="L12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0.485      -9,275</v>
      </c>
      <c r="M128" s="4">
        <f t="array" aca="1" ref="M128" ca="1">EXP(INDEX(LINEST(LN(Table13467[Price]),Table13467[Age]),1,2))*EXP(INDEX(LINEST(LN(Table13467[Price]),Table13467[Age]),1,1)*Table13467[[#This Row],[Age]])/Table13467[[#This Row],[Price]]</f>
        <v>1.1448052200284347</v>
      </c>
      <c r="N128" s="4">
        <f ca="1">Table13467[[#This Row],[Column1]]*VALUE(SUBSTITUTE(LEFT(Table13467[[#This Row],[normal price/real milage]],3),",",""))</f>
        <v>0.45792208801137391</v>
      </c>
      <c r="O128" s="4"/>
    </row>
    <row r="129" spans="1:15" x14ac:dyDescent="0.25">
      <c r="A129" s="1">
        <v>45081</v>
      </c>
      <c r="B129">
        <v>139</v>
      </c>
      <c r="C129" s="5">
        <v>17995</v>
      </c>
      <c r="D129">
        <v>2016</v>
      </c>
      <c r="E129" t="s">
        <v>110</v>
      </c>
      <c r="F129" t="s">
        <v>116</v>
      </c>
      <c r="G129">
        <v>245000</v>
      </c>
      <c r="H129" s="4">
        <f>Table13467[[#This Row],[Price]]/Table13467[[#This Row],[Mileage]]</f>
        <v>7.344897959183673E-2</v>
      </c>
      <c r="I129" s="3">
        <f ca="1">Table13467[[#This Row],[Price]]/Table13467[[#This Row],[Age]]</f>
        <v>2570.7142857142858</v>
      </c>
      <c r="J129" s="3">
        <f ca="1">Table13467[[#This Row],[Price/age]]/Table13467[[#This Row],[price/mileage]]</f>
        <v>35000</v>
      </c>
      <c r="K129">
        <f ca="1">IF(YEAR(TODAY())=Table13467[[#This Row],[year]],0.8,YEAR(TODAY())-Table13467[[#This Row],[year]])</f>
        <v>7</v>
      </c>
      <c r="L12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0.421      -10,417</v>
      </c>
      <c r="M129" s="4">
        <f t="array" aca="1" ref="M129" ca="1">EXP(INDEX(LINEST(LN(Table13467[Price]),Table13467[Age]),1,2))*EXP(INDEX(LINEST(LN(Table13467[Price]),Table13467[Age]),1,1)*Table13467[[#This Row],[Age]])/Table13467[[#This Row],[Price]]</f>
        <v>1.1448052200284347</v>
      </c>
      <c r="N129" s="4">
        <f ca="1">Table13467[[#This Row],[Column1]]*VALUE(SUBSTITUTE(LEFT(Table13467[[#This Row],[normal price/real milage]],3),",",""))</f>
        <v>0.45792208801137391</v>
      </c>
      <c r="O129" s="4"/>
    </row>
    <row r="130" spans="1:15" x14ac:dyDescent="0.25">
      <c r="A130" s="1">
        <v>45081</v>
      </c>
      <c r="B130">
        <v>41</v>
      </c>
      <c r="C130" s="5">
        <v>25995</v>
      </c>
      <c r="D130">
        <v>2021</v>
      </c>
      <c r="E130" t="s">
        <v>110</v>
      </c>
      <c r="F130" t="s">
        <v>116</v>
      </c>
      <c r="G130">
        <v>229000</v>
      </c>
      <c r="H130" s="4">
        <f>Table13467[[#This Row],[Price]]/Table13467[[#This Row],[Mileage]]</f>
        <v>0.11351528384279476</v>
      </c>
      <c r="I130" s="3">
        <f ca="1">Table13467[[#This Row],[Price]]/Table13467[[#This Row],[Age]]</f>
        <v>12997.5</v>
      </c>
      <c r="J130" s="3">
        <f ca="1">Table13467[[#This Row],[Price/age]]/Table13467[[#This Row],[price/mileage]]</f>
        <v>114500</v>
      </c>
      <c r="K130">
        <f ca="1">IF(YEAR(TODAY())=Table13467[[#This Row],[year]],0.8,YEAR(TODAY())-Table13467[[#This Row],[year]])</f>
        <v>2</v>
      </c>
      <c r="L13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0.370      -16,386</v>
      </c>
      <c r="M130" s="4">
        <f t="array" aca="1" ref="M130" ca="1">EXP(INDEX(LINEST(LN(Table13467[Price]),Table13467[Age]),1,2))*EXP(INDEX(LINEST(LN(Table13467[Price]),Table13467[Age]),1,1)*Table13467[[#This Row],[Age]])/Table13467[[#This Row],[Price]]</f>
        <v>1.4292448040073777</v>
      </c>
      <c r="N130" s="4">
        <f ca="1">Table13467[[#This Row],[Column1]]*VALUE(SUBSTITUTE(LEFT(Table13467[[#This Row],[normal price/real milage]],3),",",""))</f>
        <v>0.42877344120221333</v>
      </c>
      <c r="O130" s="4"/>
    </row>
    <row r="131" spans="1:15" x14ac:dyDescent="0.25">
      <c r="A131" s="1">
        <v>45081</v>
      </c>
      <c r="B131">
        <v>83</v>
      </c>
      <c r="C131" s="5">
        <v>59499</v>
      </c>
      <c r="D131">
        <v>2022</v>
      </c>
      <c r="E131" t="s">
        <v>139</v>
      </c>
      <c r="F131" t="s">
        <v>112</v>
      </c>
      <c r="G131">
        <v>3000</v>
      </c>
      <c r="H131" s="4">
        <f>Table13467[[#This Row],[Price]]/Table13467[[#This Row],[Mileage]]</f>
        <v>19.832999999999998</v>
      </c>
      <c r="I131" s="3">
        <f ca="1">Table13467[[#This Row],[Price]]/Table13467[[#This Row],[Age]]</f>
        <v>59499</v>
      </c>
      <c r="J131" s="3">
        <f ca="1">Table13467[[#This Row],[Price/age]]/Table13467[[#This Row],[price/mileage]]</f>
        <v>3000.0000000000005</v>
      </c>
      <c r="K131">
        <f ca="1">IF(YEAR(TODAY())=Table13467[[#This Row],[year]],0.8,YEAR(TODAY())-Table13467[[#This Row],[year]])</f>
        <v>1</v>
      </c>
      <c r="L13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0.644      -21,195</v>
      </c>
      <c r="M131" s="4">
        <f t="array" aca="1" ref="M131" ca="1">EXP(INDEX(LINEST(LN(Table13467[Price]),Table13467[Age]),1,2))*EXP(INDEX(LINEST(LN(Table13467[Price]),Table13467[Age]),1,1)*Table13467[[#This Row],[Age]])/Table13467[[#This Row],[Price]]</f>
        <v>0.70260199003271639</v>
      </c>
      <c r="N131" s="4">
        <f ca="1">Table13467[[#This Row],[Column1]]*VALUE(SUBSTITUTE(LEFT(Table13467[[#This Row],[normal price/real milage]],3),",",""))</f>
        <v>0.42156119401962983</v>
      </c>
      <c r="O131" s="4"/>
    </row>
    <row r="132" spans="1:15" x14ac:dyDescent="0.25">
      <c r="A132" s="1">
        <v>45081</v>
      </c>
      <c r="B132">
        <v>93</v>
      </c>
      <c r="C132" s="5">
        <v>59499</v>
      </c>
      <c r="D132">
        <v>2022</v>
      </c>
      <c r="E132" t="s">
        <v>121</v>
      </c>
      <c r="F132" t="s">
        <v>116</v>
      </c>
      <c r="G132">
        <v>3000</v>
      </c>
      <c r="H132" s="4">
        <f>Table13467[[#This Row],[Price]]/Table13467[[#This Row],[Mileage]]</f>
        <v>19.832999999999998</v>
      </c>
      <c r="I132" s="3">
        <f ca="1">Table13467[[#This Row],[Price]]/Table13467[[#This Row],[Age]]</f>
        <v>59499</v>
      </c>
      <c r="J132" s="3">
        <f ca="1">Table13467[[#This Row],[Price/age]]/Table13467[[#This Row],[price/mileage]]</f>
        <v>3000.0000000000005</v>
      </c>
      <c r="K132">
        <f ca="1">IF(YEAR(TODAY())=Table13467[[#This Row],[year]],0.8,YEAR(TODAY())-Table13467[[#This Row],[year]])</f>
        <v>1</v>
      </c>
      <c r="L13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0.644      -21,195</v>
      </c>
      <c r="M132" s="4">
        <f t="array" aca="1" ref="M132" ca="1">EXP(INDEX(LINEST(LN(Table13467[Price]),Table13467[Age]),1,2))*EXP(INDEX(LINEST(LN(Table13467[Price]),Table13467[Age]),1,1)*Table13467[[#This Row],[Age]])/Table13467[[#This Row],[Price]]</f>
        <v>0.70260199003271639</v>
      </c>
      <c r="N132" s="4">
        <f ca="1">Table13467[[#This Row],[Column1]]*VALUE(SUBSTITUTE(LEFT(Table13467[[#This Row],[normal price/real milage]],3),",",""))</f>
        <v>0.42156119401962983</v>
      </c>
      <c r="O132" s="4"/>
    </row>
    <row r="133" spans="1:15" x14ac:dyDescent="0.25">
      <c r="A133" s="1">
        <v>45081</v>
      </c>
      <c r="B133">
        <v>116</v>
      </c>
      <c r="C133" s="5">
        <v>58000</v>
      </c>
      <c r="D133">
        <v>2021</v>
      </c>
      <c r="E133" t="s">
        <v>146</v>
      </c>
      <c r="F133" t="s">
        <v>115</v>
      </c>
      <c r="G133">
        <v>21000</v>
      </c>
      <c r="H133" s="4">
        <f>Table13467[[#This Row],[Price]]/Table13467[[#This Row],[Mileage]]</f>
        <v>2.7619047619047619</v>
      </c>
      <c r="I133" s="3">
        <f ca="1">Table13467[[#This Row],[Price]]/Table13467[[#This Row],[Age]]</f>
        <v>29000</v>
      </c>
      <c r="J133" s="3">
        <f ca="1">Table13467[[#This Row],[Price/age]]/Table13467[[#This Row],[price/mileage]]</f>
        <v>10500</v>
      </c>
      <c r="K133">
        <f ca="1">IF(YEAR(TODAY())=Table13467[[#This Row],[year]],0.8,YEAR(TODAY())-Table13467[[#This Row],[year]])</f>
        <v>2</v>
      </c>
      <c r="L13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0.621      -21,982</v>
      </c>
      <c r="M133" s="4">
        <f t="array" aca="1" ref="M133" ca="1">EXP(INDEX(LINEST(LN(Table13467[Price]),Table13467[Age]),1,2))*EXP(INDEX(LINEST(LN(Table13467[Price]),Table13467[Age]),1,1)*Table13467[[#This Row],[Age]])/Table13467[[#This Row],[Price]]</f>
        <v>0.64057273586503072</v>
      </c>
      <c r="N133" s="4">
        <f ca="1">Table13467[[#This Row],[Column1]]*VALUE(SUBSTITUTE(LEFT(Table13467[[#This Row],[normal price/real milage]],3),",",""))</f>
        <v>0.3843436415190184</v>
      </c>
      <c r="O133" s="4"/>
    </row>
    <row r="134" spans="1:15" x14ac:dyDescent="0.25">
      <c r="A134" s="1">
        <v>45081</v>
      </c>
      <c r="B134">
        <v>66</v>
      </c>
      <c r="C134" s="5">
        <v>52995</v>
      </c>
      <c r="D134">
        <v>2021</v>
      </c>
      <c r="E134" t="s">
        <v>136</v>
      </c>
      <c r="F134" t="s">
        <v>116</v>
      </c>
      <c r="G134">
        <v>55000</v>
      </c>
      <c r="H134" s="4">
        <f>Table13467[[#This Row],[Price]]/Table13467[[#This Row],[Mileage]]</f>
        <v>0.96354545454545459</v>
      </c>
      <c r="I134" s="3">
        <f ca="1">Table13467[[#This Row],[Price]]/Table13467[[#This Row],[Age]]</f>
        <v>26497.5</v>
      </c>
      <c r="J134" s="3">
        <f ca="1">Table13467[[#This Row],[Price/age]]/Table13467[[#This Row],[price/mileage]]</f>
        <v>27500</v>
      </c>
      <c r="K134">
        <f ca="1">IF(YEAR(TODAY())=Table13467[[#This Row],[year]],0.8,YEAR(TODAY())-Table13467[[#This Row],[year]])</f>
        <v>2</v>
      </c>
      <c r="L13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0.598      -21,294</v>
      </c>
      <c r="M134" s="4">
        <f t="array" aca="1" ref="M134" ca="1">EXP(INDEX(LINEST(LN(Table13467[Price]),Table13467[Age]),1,2))*EXP(INDEX(LINEST(LN(Table13467[Price]),Table13467[Age]),1,1)*Table13467[[#This Row],[Age]])/Table13467[[#This Row],[Price]]</f>
        <v>0.70107026474519829</v>
      </c>
      <c r="N134" s="4">
        <f ca="1">Table13467[[#This Row],[Column1]]*VALUE(SUBSTITUTE(LEFT(Table13467[[#This Row],[normal price/real milage]],3),",",""))</f>
        <v>0.35053513237259915</v>
      </c>
      <c r="O134" s="4"/>
    </row>
    <row r="135" spans="1:15" x14ac:dyDescent="0.25">
      <c r="A135" s="1">
        <v>45081</v>
      </c>
      <c r="B135">
        <v>108</v>
      </c>
      <c r="C135" s="5">
        <v>52995</v>
      </c>
      <c r="D135">
        <v>2021</v>
      </c>
      <c r="E135" t="s">
        <v>110</v>
      </c>
      <c r="F135" t="s">
        <v>143</v>
      </c>
      <c r="G135">
        <v>55000</v>
      </c>
      <c r="H135" s="4">
        <f>Table13467[[#This Row],[Price]]/Table13467[[#This Row],[Mileage]]</f>
        <v>0.96354545454545459</v>
      </c>
      <c r="I135" s="3">
        <f ca="1">Table13467[[#This Row],[Price]]/Table13467[[#This Row],[Age]]</f>
        <v>26497.5</v>
      </c>
      <c r="J135" s="3">
        <f ca="1">Table13467[[#This Row],[Price/age]]/Table13467[[#This Row],[price/mileage]]</f>
        <v>27500</v>
      </c>
      <c r="K135">
        <f ca="1">IF(YEAR(TODAY())=Table13467[[#This Row],[year]],0.8,YEAR(TODAY())-Table13467[[#This Row],[year]])</f>
        <v>2</v>
      </c>
      <c r="L13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0.598      -21,294</v>
      </c>
      <c r="M135" s="4">
        <f t="array" aca="1" ref="M135" ca="1">EXP(INDEX(LINEST(LN(Table13467[Price]),Table13467[Age]),1,2))*EXP(INDEX(LINEST(LN(Table13467[Price]),Table13467[Age]),1,1)*Table13467[[#This Row],[Age]])/Table13467[[#This Row],[Price]]</f>
        <v>0.70107026474519829</v>
      </c>
      <c r="N135" s="4">
        <f ca="1">Table13467[[#This Row],[Column1]]*VALUE(SUBSTITUTE(LEFT(Table13467[[#This Row],[normal price/real milage]],3),",",""))</f>
        <v>0.35053513237259915</v>
      </c>
      <c r="O135" s="4"/>
    </row>
    <row r="136" spans="1:15" x14ac:dyDescent="0.25">
      <c r="A136" s="1">
        <v>45081</v>
      </c>
      <c r="B136">
        <v>127</v>
      </c>
      <c r="C136" s="5">
        <v>55000</v>
      </c>
      <c r="D136">
        <v>2021</v>
      </c>
      <c r="E136" t="s">
        <v>139</v>
      </c>
      <c r="F136" t="s">
        <v>152</v>
      </c>
      <c r="G136">
        <v>63000</v>
      </c>
      <c r="H136" s="4">
        <f>Table13467[[#This Row],[Price]]/Table13467[[#This Row],[Mileage]]</f>
        <v>0.87301587301587302</v>
      </c>
      <c r="I136" s="3">
        <f ca="1">Table13467[[#This Row],[Price]]/Table13467[[#This Row],[Age]]</f>
        <v>27500</v>
      </c>
      <c r="J136" s="3">
        <f ca="1">Table13467[[#This Row],[Price/age]]/Table13467[[#This Row],[price/mileage]]</f>
        <v>31500</v>
      </c>
      <c r="K136">
        <f ca="1">IF(YEAR(TODAY())=Table13467[[#This Row],[year]],0.8,YEAR(TODAY())-Table13467[[#This Row],[year]])</f>
        <v>2</v>
      </c>
      <c r="L13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0.558      -24,314</v>
      </c>
      <c r="M136" s="4">
        <f t="array" aca="1" ref="M136" ca="1">EXP(INDEX(LINEST(LN(Table13467[Price]),Table13467[Age]),1,2))*EXP(INDEX(LINEST(LN(Table13467[Price]),Table13467[Age]),1,1)*Table13467[[#This Row],[Age]])/Table13467[[#This Row],[Price]]</f>
        <v>0.67551306691221424</v>
      </c>
      <c r="N136" s="4">
        <f ca="1">Table13467[[#This Row],[Column1]]*VALUE(SUBSTITUTE(LEFT(Table13467[[#This Row],[normal price/real milage]],3),",",""))</f>
        <v>0.33775653345610712</v>
      </c>
      <c r="O136" s="4"/>
    </row>
    <row r="137" spans="1:15" x14ac:dyDescent="0.25">
      <c r="A137" s="1">
        <v>45081</v>
      </c>
      <c r="B137">
        <v>54</v>
      </c>
      <c r="C137" s="5">
        <v>12700</v>
      </c>
      <c r="D137">
        <v>2013</v>
      </c>
      <c r="E137" t="s">
        <v>110</v>
      </c>
      <c r="F137" t="s">
        <v>116</v>
      </c>
      <c r="G137">
        <v>278000</v>
      </c>
      <c r="H137" s="4">
        <f>Table13467[[#This Row],[Price]]/Table13467[[#This Row],[Mileage]]</f>
        <v>4.568345323741007E-2</v>
      </c>
      <c r="I137" s="3">
        <f ca="1">Table13467[[#This Row],[Price]]/Table13467[[#This Row],[Age]]</f>
        <v>1270</v>
      </c>
      <c r="J137" s="3">
        <f ca="1">Table13467[[#This Row],[Price/age]]/Table13467[[#This Row],[price/mileage]]</f>
        <v>27800</v>
      </c>
      <c r="K137">
        <f ca="1">IF(YEAR(TODAY())=Table13467[[#This Row],[year]],0.8,YEAR(TODAY())-Table13467[[#This Row],[year]])</f>
        <v>10</v>
      </c>
      <c r="L13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0.267      -9,312</v>
      </c>
      <c r="M137" s="4">
        <f t="array" aca="1" ref="M137" ca="1">EXP(INDEX(LINEST(LN(Table13467[Price]),Table13467[Age]),1,2))*EXP(INDEX(LINEST(LN(Table13467[Price]),Table13467[Age]),1,1)*Table13467[[#This Row],[Age]])/Table13467[[#This Row],[Price]]</f>
        <v>1.1387068573558166</v>
      </c>
      <c r="N137" s="4">
        <f ca="1">Table13467[[#This Row],[Column1]]*VALUE(SUBSTITUTE(LEFT(Table13467[[#This Row],[normal price/real milage]],3),",",""))</f>
        <v>0.22774137147116333</v>
      </c>
      <c r="O137" s="4"/>
    </row>
  </sheetData>
  <conditionalFormatting sqref="M2:M137">
    <cfRule type="expression" dxfId="12" priority="6">
      <formula>$M2&lt;1</formula>
    </cfRule>
  </conditionalFormatting>
  <conditionalFormatting sqref="L2:L137">
    <cfRule type="expression" dxfId="11" priority="5">
      <formula>LEFT($L2,4)&lt;1</formula>
    </cfRule>
  </conditionalFormatting>
  <conditionalFormatting sqref="H2:J137">
    <cfRule type="expression" dxfId="10" priority="4">
      <formula>isoutlier(H$2:H145,H2)</formula>
    </cfRule>
  </conditionalFormatting>
  <conditionalFormatting sqref="G2:G137">
    <cfRule type="expression" dxfId="9" priority="1">
      <formula>isoutlier(G$2:G144,G2)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Volkswagen tiguan</vt:lpstr>
      <vt:lpstr>Hyundai tucson</vt:lpstr>
      <vt:lpstr>Hyundai Santafe</vt:lpstr>
      <vt:lpstr>Honda CHR</vt:lpstr>
      <vt:lpstr>RAV4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Sina Saeed Nia</dc:creator>
  <cp:lastModifiedBy>sina saeednia</cp:lastModifiedBy>
  <dcterms:created xsi:type="dcterms:W3CDTF">2023-05-31T01:33:30Z</dcterms:created>
  <dcterms:modified xsi:type="dcterms:W3CDTF">2023-06-07T01:57:06Z</dcterms:modified>
</cp:coreProperties>
</file>